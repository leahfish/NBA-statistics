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7"/>
  <workbookPr/>
  <mc:AlternateContent xmlns:mc="http://schemas.openxmlformats.org/markup-compatibility/2006">
    <mc:Choice Requires="x15">
      <x15ac:absPath xmlns:x15ac="http://schemas.microsoft.com/office/spreadsheetml/2010/11/ac" url="https://d.docs.live.net/14092591E87A55E0/Documents/"/>
    </mc:Choice>
  </mc:AlternateContent>
  <xr:revisionPtr revIDLastSave="0" documentId="8_{97F96E92-EF88-4999-B190-092887D4A718}" xr6:coauthVersionLast="47" xr6:coauthVersionMax="47" xr10:uidLastSave="{00000000-0000-0000-0000-000000000000}"/>
  <bookViews>
    <workbookView xWindow="-96" yWindow="0" windowWidth="14172" windowHeight="13776" firstSheet="1" activeTab="3" xr2:uid="{00000000-000D-0000-FFFF-FFFF00000000}"/>
  </bookViews>
  <sheets>
    <sheet name="nba_contracts_performance_final" sheetId="1" r:id="rId1"/>
    <sheet name="Distribution Analysis" sheetId="4" r:id="rId2"/>
    <sheet name="Probability Scenarios" sheetId="5" r:id="rId3"/>
    <sheet name="Probability Commentary" sheetId="6" r:id="rId4"/>
    <sheet name="AI Usage" sheetId="7" r:id="rId5"/>
    <sheet name="project_requirements" sheetId="3"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5" l="1"/>
  <c r="C18" i="5"/>
  <c r="B17" i="5"/>
  <c r="B16" i="5"/>
  <c r="B8" i="5"/>
  <c r="K139" i="4"/>
  <c r="K138" i="4"/>
  <c r="K137" i="4"/>
  <c r="K136" i="4"/>
  <c r="K135" i="4"/>
  <c r="K114" i="4"/>
  <c r="K113" i="4"/>
  <c r="K112" i="4"/>
  <c r="K111" i="4"/>
  <c r="K110" i="4"/>
  <c r="K92" i="4"/>
  <c r="K91" i="4"/>
  <c r="K90" i="4"/>
  <c r="K89" i="4"/>
  <c r="K88" i="4"/>
  <c r="K69" i="4"/>
  <c r="K68" i="4"/>
  <c r="K67" i="4"/>
  <c r="K66" i="4"/>
  <c r="K65" i="4"/>
  <c r="K49" i="4"/>
  <c r="K48" i="4"/>
  <c r="K47" i="4"/>
  <c r="K46" i="4"/>
  <c r="K45" i="4"/>
  <c r="K30" i="4"/>
  <c r="K29" i="4"/>
  <c r="K28" i="4"/>
  <c r="K27" i="4"/>
  <c r="K26" i="4"/>
  <c r="K8" i="4"/>
  <c r="K7" i="4"/>
  <c r="K6" i="4"/>
  <c r="K5" i="4"/>
  <c r="K4" i="4"/>
</calcChain>
</file>

<file path=xl/sharedStrings.xml><?xml version="1.0" encoding="utf-8"?>
<sst xmlns="http://schemas.openxmlformats.org/spreadsheetml/2006/main" count="2946" uniqueCount="688">
  <si>
    <t>player</t>
  </si>
  <si>
    <t>team</t>
  </si>
  <si>
    <t>conference</t>
  </si>
  <si>
    <t>position_group</t>
  </si>
  <si>
    <t>age</t>
  </si>
  <si>
    <t>games_played</t>
  </si>
  <si>
    <t>minutes_per_game</t>
  </si>
  <si>
    <t>rebounds_per_game</t>
  </si>
  <si>
    <t>assists_per_game</t>
  </si>
  <si>
    <t>points_per_game</t>
  </si>
  <si>
    <t>salary_filled</t>
  </si>
  <si>
    <t>born</t>
  </si>
  <si>
    <t>Luka Dončić</t>
  </si>
  <si>
    <t>LAL</t>
  </si>
  <si>
    <t>West</t>
  </si>
  <si>
    <t>Guard</t>
  </si>
  <si>
    <t>INT</t>
  </si>
  <si>
    <t>Shai Gilgeous-Alexander</t>
  </si>
  <si>
    <t>OKC</t>
  </si>
  <si>
    <t>Anthony Edwards</t>
  </si>
  <si>
    <t>MIN</t>
  </si>
  <si>
    <t>US</t>
  </si>
  <si>
    <t>Jaylen Brown</t>
  </si>
  <si>
    <t>BOS</t>
  </si>
  <si>
    <t>East</t>
  </si>
  <si>
    <t>Forward</t>
  </si>
  <si>
    <t>Tyrese Maxey</t>
  </si>
  <si>
    <t>PHI</t>
  </si>
  <si>
    <t>Kawhi Leonard</t>
  </si>
  <si>
    <t>LAC</t>
  </si>
  <si>
    <t>Donovan Mitchell</t>
  </si>
  <si>
    <t>CLE</t>
  </si>
  <si>
    <t>Nikola Jokić</t>
  </si>
  <si>
    <t>DEN</t>
  </si>
  <si>
    <t>Center</t>
  </si>
  <si>
    <t>Giannis Antetokounmpo</t>
  </si>
  <si>
    <t>MIL</t>
  </si>
  <si>
    <t>Joel Embiid</t>
  </si>
  <si>
    <t>Lauri Markkanen</t>
  </si>
  <si>
    <t>UTA</t>
  </si>
  <si>
    <t>Stephen Curry</t>
  </si>
  <si>
    <t>GSW</t>
  </si>
  <si>
    <t>Devin Booker</t>
  </si>
  <si>
    <t>PHX</t>
  </si>
  <si>
    <t>Jalen Brunson</t>
  </si>
  <si>
    <t>NYK</t>
  </si>
  <si>
    <t>Kevin Durant</t>
  </si>
  <si>
    <t>HOU</t>
  </si>
  <si>
    <t>Jamal Murray</t>
  </si>
  <si>
    <t>Victor Wembanyama</t>
  </si>
  <si>
    <t>SAS</t>
  </si>
  <si>
    <t>Deni Avdija</t>
  </si>
  <si>
    <t>POR</t>
  </si>
  <si>
    <t>Michael Porter Jr.</t>
  </si>
  <si>
    <t>BKN</t>
  </si>
  <si>
    <t>Pascal Siakam</t>
  </si>
  <si>
    <t>IND</t>
  </si>
  <si>
    <t>Cade Cunningham</t>
  </si>
  <si>
    <t>DET</t>
  </si>
  <si>
    <t>James Harden</t>
  </si>
  <si>
    <t>Keyonte George</t>
  </si>
  <si>
    <t>Austin Reaves</t>
  </si>
  <si>
    <t>Jalen Johnson</t>
  </si>
  <si>
    <t>ATL</t>
  </si>
  <si>
    <t>Paolo Banchero</t>
  </si>
  <si>
    <t>ORL</t>
  </si>
  <si>
    <t>Jayson Tatum</t>
  </si>
  <si>
    <t>Norman Powell</t>
  </si>
  <si>
    <t>MIA</t>
  </si>
  <si>
    <t>Brandon Ingram</t>
  </si>
  <si>
    <t>TOR</t>
  </si>
  <si>
    <t>Trey Murphy III</t>
  </si>
  <si>
    <t>NOP</t>
  </si>
  <si>
    <t>Julius Randle</t>
  </si>
  <si>
    <t>Cooper Flagg</t>
  </si>
  <si>
    <t>DAL</t>
  </si>
  <si>
    <t>Zion Williamson</t>
  </si>
  <si>
    <t>LeBron James</t>
  </si>
  <si>
    <t>Nickeil Alexander-Walker</t>
  </si>
  <si>
    <t>Shaedon Sharpe</t>
  </si>
  <si>
    <t>Franz Wagner</t>
  </si>
  <si>
    <t>Tyler Herro</t>
  </si>
  <si>
    <t>Anthony Davis</t>
  </si>
  <si>
    <t>WAS</t>
  </si>
  <si>
    <t>Alperen Şengün</t>
  </si>
  <si>
    <t>Dillon Brooks</t>
  </si>
  <si>
    <t>Brandon Miller</t>
  </si>
  <si>
    <t>CHA</t>
  </si>
  <si>
    <t>Bam Adebayo</t>
  </si>
  <si>
    <t>LaMelo Ball</t>
  </si>
  <si>
    <t>Desmond Bane</t>
  </si>
  <si>
    <t>Karl-Anthony Towns</t>
  </si>
  <si>
    <t>Jimmy Butler</t>
  </si>
  <si>
    <t>Ty Jerome</t>
  </si>
  <si>
    <t>MEM</t>
  </si>
  <si>
    <t>Jalen Duren</t>
  </si>
  <si>
    <t>Ja Morant</t>
  </si>
  <si>
    <t>Jaren Jackson Jr.</t>
  </si>
  <si>
    <t>RJ Barrett</t>
  </si>
  <si>
    <t>Zach LaVine</t>
  </si>
  <si>
    <t>SAC</t>
  </si>
  <si>
    <t>Darius Garland</t>
  </si>
  <si>
    <t>CJ McCollum</t>
  </si>
  <si>
    <t>De'Aaron Fox</t>
  </si>
  <si>
    <t>Jerami Grant</t>
  </si>
  <si>
    <t>Kon Knueppel</t>
  </si>
  <si>
    <t>DeMar DeRozan</t>
  </si>
  <si>
    <t>Amen Thompson</t>
  </si>
  <si>
    <t>Evan Mobley</t>
  </si>
  <si>
    <t>Scottie Barnes</t>
  </si>
  <si>
    <t>Trae Young</t>
  </si>
  <si>
    <t>Jalen Green</t>
  </si>
  <si>
    <t>Saddiq Bey</t>
  </si>
  <si>
    <t>Bennedict Mathurin</t>
  </si>
  <si>
    <t>Coby White</t>
  </si>
  <si>
    <t>Kevin Porter Jr.</t>
  </si>
  <si>
    <t>Paul George</t>
  </si>
  <si>
    <t>Ryan Rollins</t>
  </si>
  <si>
    <t>Miles Bridges</t>
  </si>
  <si>
    <t>Chet Holmgren</t>
  </si>
  <si>
    <t>Jalen Williams</t>
  </si>
  <si>
    <t>Josh Giddey</t>
  </si>
  <si>
    <t>CHI</t>
  </si>
  <si>
    <t>Payton Pritchard</t>
  </si>
  <si>
    <t>Andrew Nembhard</t>
  </si>
  <si>
    <t>Kristaps Porziņģis</t>
  </si>
  <si>
    <t>OG Anunoby</t>
  </si>
  <si>
    <t>Stephon Castle</t>
  </si>
  <si>
    <t>Dejounte Murray</t>
  </si>
  <si>
    <t>Grayson Allen</t>
  </si>
  <si>
    <t>Derrick White</t>
  </si>
  <si>
    <t>Immanuel Quickley</t>
  </si>
  <si>
    <t>Matas Buzelis</t>
  </si>
  <si>
    <t>Jrue Holiday</t>
  </si>
  <si>
    <t>Alex Sarr</t>
  </si>
  <si>
    <t>Dariq Whitehead</t>
  </si>
  <si>
    <t>Aaron Gordon</t>
  </si>
  <si>
    <t>VJ Edgecombe</t>
  </si>
  <si>
    <t>Domantas Sabonis</t>
  </si>
  <si>
    <t>Jabari Smith Jr.</t>
  </si>
  <si>
    <t>Collin Sexton</t>
  </si>
  <si>
    <t>Jarrett Allen</t>
  </si>
  <si>
    <t>Jaime Jaquez Jr.</t>
  </si>
  <si>
    <t>Andrew Wiggins</t>
  </si>
  <si>
    <t>Naji Marshall</t>
  </si>
  <si>
    <t>Onyeka Okongwu</t>
  </si>
  <si>
    <t>Russell Westbrook</t>
  </si>
  <si>
    <t>Nikola Vučević</t>
  </si>
  <si>
    <t>Anthony Black</t>
  </si>
  <si>
    <t>Kennedy Chandler</t>
  </si>
  <si>
    <t>Brice Sensabaugh</t>
  </si>
  <si>
    <t>Ayo Dosunmu</t>
  </si>
  <si>
    <t>Kyshawn George</t>
  </si>
  <si>
    <t>Jaden McDaniels</t>
  </si>
  <si>
    <t>Peyton Watson</t>
  </si>
  <si>
    <t>Mikal Bridges</t>
  </si>
  <si>
    <t>Walker Kessler</t>
  </si>
  <si>
    <t>Anfernee Simons</t>
  </si>
  <si>
    <t>Jeremiah Fears</t>
  </si>
  <si>
    <t>Cormac Ryan</t>
  </si>
  <si>
    <t>Scoot Henderson</t>
  </si>
  <si>
    <t>P.J. Washington</t>
  </si>
  <si>
    <t>Ivica Zubac</t>
  </si>
  <si>
    <t>Tre Jones</t>
  </si>
  <si>
    <t>Kelly Oubre Jr.</t>
  </si>
  <si>
    <t>Santi Aldama</t>
  </si>
  <si>
    <t>Keegan Murray</t>
  </si>
  <si>
    <t>Devin Vassell</t>
  </si>
  <si>
    <t>Ace Bailey</t>
  </si>
  <si>
    <t>Aaron Nesmith</t>
  </si>
  <si>
    <t>Brandin Podziemski</t>
  </si>
  <si>
    <t>Jalen Suggs</t>
  </si>
  <si>
    <t>De'Andre Hunter</t>
  </si>
  <si>
    <t>Bobby Portis</t>
  </si>
  <si>
    <t>John Collins</t>
  </si>
  <si>
    <t>Cedric Coward</t>
  </si>
  <si>
    <t>Zach Edey</t>
  </si>
  <si>
    <t>Ajay Mitchell</t>
  </si>
  <si>
    <t>Naz Reid</t>
  </si>
  <si>
    <t>Tim Hardaway Jr.</t>
  </si>
  <si>
    <t>Reed Sheppard</t>
  </si>
  <si>
    <t>Toumani Camara</t>
  </si>
  <si>
    <t>Quentin Grimes</t>
  </si>
  <si>
    <t>Jordan Poole</t>
  </si>
  <si>
    <t>Tobias Harris</t>
  </si>
  <si>
    <t>Keldon Johnson</t>
  </si>
  <si>
    <t>Jaylon Tyson</t>
  </si>
  <si>
    <t>Kyle Kuzma</t>
  </si>
  <si>
    <t>Brandon Williams</t>
  </si>
  <si>
    <t>Sam Merrill</t>
  </si>
  <si>
    <t>Collin Gillespie</t>
  </si>
  <si>
    <t>Deandre Ayton</t>
  </si>
  <si>
    <t>GG Jackson II</t>
  </si>
  <si>
    <t>Malik Monk</t>
  </si>
  <si>
    <t>Maxime Raynaud</t>
  </si>
  <si>
    <t>Jaylen Wells</t>
  </si>
  <si>
    <t>Max Christie</t>
  </si>
  <si>
    <t>Noah Clowney</t>
  </si>
  <si>
    <t>De'Anthony Melton</t>
  </si>
  <si>
    <t>Jonathan Kuminga</t>
  </si>
  <si>
    <t>Donte DiVincenzo</t>
  </si>
  <si>
    <t>Cameron Johnson</t>
  </si>
  <si>
    <t>Tre Johnson</t>
  </si>
  <si>
    <t>Duncan Robinson</t>
  </si>
  <si>
    <t>Donovan Clingan</t>
  </si>
  <si>
    <t>Moses Moody</t>
  </si>
  <si>
    <t>Christian Braun</t>
  </si>
  <si>
    <t>Josh Hart</t>
  </si>
  <si>
    <t>Miles McBride</t>
  </si>
  <si>
    <t>Tristen Newton</t>
  </si>
  <si>
    <t>Dyson Daniels</t>
  </si>
  <si>
    <t>Blake Hinson</t>
  </si>
  <si>
    <t>Myles Turner</t>
  </si>
  <si>
    <t>Wendell Carter Jr.</t>
  </si>
  <si>
    <t>Dylan Harper</t>
  </si>
  <si>
    <t>Julian Reese</t>
  </si>
  <si>
    <t>Nic Claxton</t>
  </si>
  <si>
    <t>Isaiah Collier</t>
  </si>
  <si>
    <t>Bilal Coulibaly</t>
  </si>
  <si>
    <t>Derik Queen</t>
  </si>
  <si>
    <t>Klay Thompson</t>
  </si>
  <si>
    <t>Mark Williams</t>
  </si>
  <si>
    <t>Obi Toppin</t>
  </si>
  <si>
    <t>Jarace Walker</t>
  </si>
  <si>
    <t>Rui Hachimura</t>
  </si>
  <si>
    <t>Kyle Filipowski</t>
  </si>
  <si>
    <t>Pelle Larsson</t>
  </si>
  <si>
    <t>Scotty Pippen Jr.</t>
  </si>
  <si>
    <t>Sandro Mamukelashvili</t>
  </si>
  <si>
    <t>Max Strus</t>
  </si>
  <si>
    <t>Julian Champagnie</t>
  </si>
  <si>
    <t>Isaiah Joe</t>
  </si>
  <si>
    <t>Cam Spencer</t>
  </si>
  <si>
    <t>Kel'el Ware</t>
  </si>
  <si>
    <t>Alondes Williams</t>
  </si>
  <si>
    <t>Rudy Gobert</t>
  </si>
  <si>
    <t>Jusuf Nurkić</t>
  </si>
  <si>
    <t>Dennis Schröder</t>
  </si>
  <si>
    <t>Tyler Burton</t>
  </si>
  <si>
    <t>Daeqwon Plowden</t>
  </si>
  <si>
    <t>Bub Carrington</t>
  </si>
  <si>
    <t>Jakob Poeltl</t>
  </si>
  <si>
    <t>Jock Landale</t>
  </si>
  <si>
    <t>Marvin Bagley III</t>
  </si>
  <si>
    <t>Tari Eason</t>
  </si>
  <si>
    <t>Adama-Alpha Bal</t>
  </si>
  <si>
    <t>A.J. Green</t>
  </si>
  <si>
    <t>Caleb Love</t>
  </si>
  <si>
    <t>Lucas Williamson</t>
  </si>
  <si>
    <t>Egor Demin</t>
  </si>
  <si>
    <t>DaQuan Jeffries</t>
  </si>
  <si>
    <t>Will Riley</t>
  </si>
  <si>
    <t>Khris Middleton</t>
  </si>
  <si>
    <t>Neemias Queta</t>
  </si>
  <si>
    <t>D'Angelo Russell</t>
  </si>
  <si>
    <t>Jalen Smith</t>
  </si>
  <si>
    <t>Ziaire Williams</t>
  </si>
  <si>
    <t>Precious Achiuwa</t>
  </si>
  <si>
    <t>Derrick Jones Jr.</t>
  </si>
  <si>
    <t>Kevin Huerter</t>
  </si>
  <si>
    <t>Jordan Miller</t>
  </si>
  <si>
    <t>Toby Okani</t>
  </si>
  <si>
    <t>Olivier-Maxence Prosper</t>
  </si>
  <si>
    <t>Isaiah Stewart</t>
  </si>
  <si>
    <t>Harrison Barnes</t>
  </si>
  <si>
    <t>Tristan Da Silva</t>
  </si>
  <si>
    <t>Ausar Thompson</t>
  </si>
  <si>
    <t>Royce O'Neale</t>
  </si>
  <si>
    <t>Zach Collins</t>
  </si>
  <si>
    <t>Micah Potter</t>
  </si>
  <si>
    <t>Javon Small</t>
  </si>
  <si>
    <t>Zaccharie Risacher</t>
  </si>
  <si>
    <t>Daniel Gafford</t>
  </si>
  <si>
    <t>Jay Huff</t>
  </si>
  <si>
    <t>T.J. McConnell</t>
  </si>
  <si>
    <t>Svi Mykhailiuk</t>
  </si>
  <si>
    <t>Aaron Wiggins</t>
  </si>
  <si>
    <t>Daniss Jenkins</t>
  </si>
  <si>
    <t>Davion Mitchell</t>
  </si>
  <si>
    <t>Isaac Okoro</t>
  </si>
  <si>
    <t>Landry Shamet</t>
  </si>
  <si>
    <t>Marcus Smart</t>
  </si>
  <si>
    <t>Jaden Hardy</t>
  </si>
  <si>
    <t>Isaiah Hartenstein</t>
  </si>
  <si>
    <t>Sam Hauser</t>
  </si>
  <si>
    <t>Corey Kispert</t>
  </si>
  <si>
    <t>Taurean Prince</t>
  </si>
  <si>
    <t>Gui Santos</t>
  </si>
  <si>
    <t>Cam Whitmore</t>
  </si>
  <si>
    <t>Quenton Jackson</t>
  </si>
  <si>
    <t>Tristan Vukcevic</t>
  </si>
  <si>
    <t>Devin Carter</t>
  </si>
  <si>
    <t>Herbert Jones</t>
  </si>
  <si>
    <t>Nolan Traoré</t>
  </si>
  <si>
    <t>Danny Wolf</t>
  </si>
  <si>
    <t>John Poulakidas</t>
  </si>
  <si>
    <t>Payton Sandfort</t>
  </si>
  <si>
    <t>Cody Williams</t>
  </si>
  <si>
    <t>Justin Champagnie</t>
  </si>
  <si>
    <t>Jordan Goodwin</t>
  </si>
  <si>
    <t>Day'Ron Sharpe</t>
  </si>
  <si>
    <t>Jonas Valančiūnas</t>
  </si>
  <si>
    <t>Jordan Clarkson</t>
  </si>
  <si>
    <t>Nique Clifford</t>
  </si>
  <si>
    <t>Cason Wallace</t>
  </si>
  <si>
    <t>Vít Krejčí</t>
  </si>
  <si>
    <t>Simone Fontecchio</t>
  </si>
  <si>
    <t>Bones Hyland</t>
  </si>
  <si>
    <t>Brook Lopez</t>
  </si>
  <si>
    <t>Collin Murray-Boyles</t>
  </si>
  <si>
    <t>Luke Kennard</t>
  </si>
  <si>
    <t>Kentavious Caldwell-Pope</t>
  </si>
  <si>
    <t>Draymond Green</t>
  </si>
  <si>
    <t>Jared McCain</t>
  </si>
  <si>
    <t>Luguentz Dort</t>
  </si>
  <si>
    <t>Al Horford</t>
  </si>
  <si>
    <t>Josh Oduro</t>
  </si>
  <si>
    <t>Kadary Richmond</t>
  </si>
  <si>
    <t>Malachi Smith</t>
  </si>
  <si>
    <t>Bradley Beal</t>
  </si>
  <si>
    <t>LJ Cryer</t>
  </si>
  <si>
    <t>Ron Holland</t>
  </si>
  <si>
    <t>Chaney Johnson</t>
  </si>
  <si>
    <t>Jake LaRavia</t>
  </si>
  <si>
    <t>Sharife Cooper</t>
  </si>
  <si>
    <t>Luka Garza</t>
  </si>
  <si>
    <t>Bez Mbeng</t>
  </si>
  <si>
    <t>Bryce McGowens</t>
  </si>
  <si>
    <t>Gary Trent Jr.</t>
  </si>
  <si>
    <t>Mouhamadou Gueye</t>
  </si>
  <si>
    <t>DeJon Jarreau</t>
  </si>
  <si>
    <t>David Roddy</t>
  </si>
  <si>
    <t>Tre Scott</t>
  </si>
  <si>
    <t>Nate Williams</t>
  </si>
  <si>
    <t>Bruce Brown</t>
  </si>
  <si>
    <t>Moussa Diabaté</t>
  </si>
  <si>
    <t>Tyson Etienne</t>
  </si>
  <si>
    <t>Leonard Miller</t>
  </si>
  <si>
    <t>Walter Clayton</t>
  </si>
  <si>
    <t>Paul Reed</t>
  </si>
  <si>
    <t>Oscar Tshiebwe</t>
  </si>
  <si>
    <t>Dominick Barlow</t>
  </si>
  <si>
    <t>Quinten Post</t>
  </si>
  <si>
    <t>Ousmane Dieng</t>
  </si>
  <si>
    <t>Buddy Hield</t>
  </si>
  <si>
    <t>Ryan Kalkbrenner</t>
  </si>
  <si>
    <t>Jaxson Hayes</t>
  </si>
  <si>
    <t>Gary Payton II</t>
  </si>
  <si>
    <t>Ben Saraf</t>
  </si>
  <si>
    <t>Ja'Kobe Walter</t>
  </si>
  <si>
    <t>Josh Minott</t>
  </si>
  <si>
    <t>Taylor Hendricks</t>
  </si>
  <si>
    <t>Jose Alvarado</t>
  </si>
  <si>
    <t>Bogdan Bogdanović</t>
  </si>
  <si>
    <t>Caris LeVert</t>
  </si>
  <si>
    <t>Cameron Payne</t>
  </si>
  <si>
    <t>Jamir Watkins</t>
  </si>
  <si>
    <t>Kris Dunn</t>
  </si>
  <si>
    <t>Nikola Jović</t>
  </si>
  <si>
    <t>Kobe Sanders</t>
  </si>
  <si>
    <t>Jalen Slawson</t>
  </si>
  <si>
    <t>Terance Mann</t>
  </si>
  <si>
    <t>Pat Spencer</t>
  </si>
  <si>
    <t>Julian Strawther</t>
  </si>
  <si>
    <t>Jaylin Williams</t>
  </si>
  <si>
    <t>Leaky Black</t>
  </si>
  <si>
    <t>Seth Curry</t>
  </si>
  <si>
    <t>Ben Sheppard</t>
  </si>
  <si>
    <t>Lawson Lovering</t>
  </si>
  <si>
    <t>Ethan Thompson</t>
  </si>
  <si>
    <t>Grant Williams</t>
  </si>
  <si>
    <t>Patrick Williams</t>
  </si>
  <si>
    <t>Javonte Green</t>
  </si>
  <si>
    <t>Moritz Wagner</t>
  </si>
  <si>
    <t>MarJon Beauchamp</t>
  </si>
  <si>
    <t>Elijah Harkless</t>
  </si>
  <si>
    <t>Keon Ellis</t>
  </si>
  <si>
    <t>Isaiah Jackson</t>
  </si>
  <si>
    <t>Cole Anthony</t>
  </si>
  <si>
    <t>Kevin Love</t>
  </si>
  <si>
    <t>Robert Williams</t>
  </si>
  <si>
    <t>Ryan Nembhard</t>
  </si>
  <si>
    <t>Jamal Shead</t>
  </si>
  <si>
    <t>Oso Ighodaro</t>
  </si>
  <si>
    <t>Luke Kornet</t>
  </si>
  <si>
    <t>Drake Powell</t>
  </si>
  <si>
    <t>Trendon Watford</t>
  </si>
  <si>
    <t>Kenrich Williams</t>
  </si>
  <si>
    <t>Jevon Carter</t>
  </si>
  <si>
    <t>Andre Drummond</t>
  </si>
  <si>
    <t>Will Richard</t>
  </si>
  <si>
    <t>Jalen Wilson</t>
  </si>
  <si>
    <t>Rob Dillingham</t>
  </si>
  <si>
    <t>Kyle Anderson</t>
  </si>
  <si>
    <t>Thomas Bryant</t>
  </si>
  <si>
    <t>Alex Caruso</t>
  </si>
  <si>
    <t>Kasparas Jakučionis</t>
  </si>
  <si>
    <t>Jahmai Mashack</t>
  </si>
  <si>
    <t>Nick Smith Jr.</t>
  </si>
  <si>
    <t>Gradey Dick</t>
  </si>
  <si>
    <t>Justin Edwards</t>
  </si>
  <si>
    <t>Hayden Gray</t>
  </si>
  <si>
    <t>Tidjane Salaün</t>
  </si>
  <si>
    <t>Goga Bitadze</t>
  </si>
  <si>
    <t>Charles Bassey</t>
  </si>
  <si>
    <t>Kobe Brown</t>
  </si>
  <si>
    <t>Nick Richards</t>
  </si>
  <si>
    <t>Steven Adams</t>
  </si>
  <si>
    <t>Branden Carlson</t>
  </si>
  <si>
    <t>Ryan Dunn</t>
  </si>
  <si>
    <t>Anthony Gill</t>
  </si>
  <si>
    <t>Kris Murray</t>
  </si>
  <si>
    <t>Matisse Thybulle</t>
  </si>
  <si>
    <t>Nae'Qwan Tomlin</t>
  </si>
  <si>
    <t>Dean Wade</t>
  </si>
  <si>
    <t>Jamaree Bouyea</t>
  </si>
  <si>
    <t>E.J. Liddell</t>
  </si>
  <si>
    <t>Karlo Matković</t>
  </si>
  <si>
    <t>Doug McDermott</t>
  </si>
  <si>
    <t>Yves Missi</t>
  </si>
  <si>
    <t>Mitchell Robinson</t>
  </si>
  <si>
    <t>Guerschon Yabusele</t>
  </si>
  <si>
    <t>Terrence Shannon Jr.</t>
  </si>
  <si>
    <t>Dru Smith</t>
  </si>
  <si>
    <t>Eric Gordon</t>
  </si>
  <si>
    <t>Killian Hayes</t>
  </si>
  <si>
    <t>Aaron Holiday</t>
  </si>
  <si>
    <t>Jett Howard</t>
  </si>
  <si>
    <t>Spencer Jones</t>
  </si>
  <si>
    <t>Tre Mann</t>
  </si>
  <si>
    <t>Baylor Scheierman</t>
  </si>
  <si>
    <t>Jamal Cain</t>
  </si>
  <si>
    <t>Dylan Cardwell</t>
  </si>
  <si>
    <t>Haywood Highsmith</t>
  </si>
  <si>
    <t>Sion James</t>
  </si>
  <si>
    <t>Pete Nance</t>
  </si>
  <si>
    <t>Tyrese Proctor</t>
  </si>
  <si>
    <t>Jordan Walsh</t>
  </si>
  <si>
    <t>Trey Alexander</t>
  </si>
  <si>
    <t>Drew Eubanks</t>
  </si>
  <si>
    <t>Andersson Garcia</t>
  </si>
  <si>
    <t>Garrison Mathews</t>
  </si>
  <si>
    <t>Asa Newell</t>
  </si>
  <si>
    <t>Jalen Pickett</t>
  </si>
  <si>
    <t>Marcus Sasser</t>
  </si>
  <si>
    <t>Nikola Topić</t>
  </si>
  <si>
    <t>Ochai Agbaji</t>
  </si>
  <si>
    <t>Sidy Cissoko</t>
  </si>
  <si>
    <t>Johnny Furphy</t>
  </si>
  <si>
    <t>Jordan Hawkins</t>
  </si>
  <si>
    <t>Jericho Sims</t>
  </si>
  <si>
    <t>Adem Bona</t>
  </si>
  <si>
    <t>Blake Wesley</t>
  </si>
  <si>
    <t>Tyler Smith</t>
  </si>
  <si>
    <t>Lonzo Ball</t>
  </si>
  <si>
    <t>Malaki Branham</t>
  </si>
  <si>
    <t>Zyon Pullin</t>
  </si>
  <si>
    <t>PJ Hall</t>
  </si>
  <si>
    <t>Moussa Cisse</t>
  </si>
  <si>
    <t>Mike Conley</t>
  </si>
  <si>
    <t>Josh Okogie</t>
  </si>
  <si>
    <t>Taelon Peter</t>
  </si>
  <si>
    <t>Craig Porter Jr.</t>
  </si>
  <si>
    <t>John Konchar</t>
  </si>
  <si>
    <t>Gabe Vincent</t>
  </si>
  <si>
    <t>Mouhamed Gueye</t>
  </si>
  <si>
    <t>Kam Jones</t>
  </si>
  <si>
    <t>DeAndre Jordan</t>
  </si>
  <si>
    <t>Tyler Kolek</t>
  </si>
  <si>
    <t>Jase Richardson</t>
  </si>
  <si>
    <t>Jarred Vanderbilt</t>
  </si>
  <si>
    <t>Rasheer Fleming</t>
  </si>
  <si>
    <t>Josh Green</t>
  </si>
  <si>
    <t>Keshad Johnson</t>
  </si>
  <si>
    <t>Yanic Konan Niederhäuser</t>
  </si>
  <si>
    <t>Skal Labissière</t>
  </si>
  <si>
    <t>Dereck Lively II</t>
  </si>
  <si>
    <t>Liam McNeeley</t>
  </si>
  <si>
    <t>Grant Nelson</t>
  </si>
  <si>
    <t>Micah Peavy</t>
  </si>
  <si>
    <t>Jabari Walker</t>
  </si>
  <si>
    <t>Carter Bryant</t>
  </si>
  <si>
    <t>Ron Harper Jr.</t>
  </si>
  <si>
    <t>Dalton Knecht</t>
  </si>
  <si>
    <t>A.J. Lawson</t>
  </si>
  <si>
    <t>Tristan Enaruna</t>
  </si>
  <si>
    <t>Nicolas Batum</t>
  </si>
  <si>
    <t>Tony Bradley</t>
  </si>
  <si>
    <t>Jaylen Clark</t>
  </si>
  <si>
    <t>Brandon Clarke</t>
  </si>
  <si>
    <t>Joan Beringer</t>
  </si>
  <si>
    <t>Hugo González</t>
  </si>
  <si>
    <t>Caleb Martin</t>
  </si>
  <si>
    <t>Koby Brea</t>
  </si>
  <si>
    <t>Clint Capela</t>
  </si>
  <si>
    <t>Noah Penda</t>
  </si>
  <si>
    <t>Omer Yurtseven</t>
  </si>
  <si>
    <t>Dalen Terry</t>
  </si>
  <si>
    <t>DaRon Holmes</t>
  </si>
  <si>
    <t>Larry Nance Jr.</t>
  </si>
  <si>
    <t>Zeke Nnaji</t>
  </si>
  <si>
    <t>Tolu Smith</t>
  </si>
  <si>
    <t>Jeremy Sochan</t>
  </si>
  <si>
    <t>Mohamed Diawara</t>
  </si>
  <si>
    <t>Myron Gardner</t>
  </si>
  <si>
    <t>Olivier Sarr</t>
  </si>
  <si>
    <t>Keaton Wallace</t>
  </si>
  <si>
    <t>Trayce Jackson-Davis</t>
  </si>
  <si>
    <t>Taj Gibson</t>
  </si>
  <si>
    <t>Yuki Kawamura</t>
  </si>
  <si>
    <t>Drew Timme</t>
  </si>
  <si>
    <t>AJ Johnson</t>
  </si>
  <si>
    <t>Dorian Finney-Smith</t>
  </si>
  <si>
    <t>Enrique Freeman</t>
  </si>
  <si>
    <t>Malevy Leons</t>
  </si>
  <si>
    <t>Dwight Powell</t>
  </si>
  <si>
    <t>Isaiah Stevens</t>
  </si>
  <si>
    <t>James Wiseman</t>
  </si>
  <si>
    <t>Amir Coffey</t>
  </si>
  <si>
    <t>Alex Antetokounmpo</t>
  </si>
  <si>
    <t>Kelly Olynyk</t>
  </si>
  <si>
    <t>Jamison Battle</t>
  </si>
  <si>
    <t>Miles Kelly</t>
  </si>
  <si>
    <t>Mark Sears</t>
  </si>
  <si>
    <t>Tyus Jones</t>
  </si>
  <si>
    <t>CJ Huntley</t>
  </si>
  <si>
    <t>Chris Livingston</t>
  </si>
  <si>
    <t>Khaman Maluach</t>
  </si>
  <si>
    <t>Emanuel Miller</t>
  </si>
  <si>
    <t>Monte Morris</t>
  </si>
  <si>
    <t>Julian Phillips</t>
  </si>
  <si>
    <t>Kobe Bufkin</t>
  </si>
  <si>
    <t>Bronny James</t>
  </si>
  <si>
    <t>Curtis Jones</t>
  </si>
  <si>
    <t>David Jones Garcia</t>
  </si>
  <si>
    <t>Chris Paul</t>
  </si>
  <si>
    <t>Duop Reath</t>
  </si>
  <si>
    <t>Cam Christie</t>
  </si>
  <si>
    <t>Kevon Looney</t>
  </si>
  <si>
    <t>Norchad Omier</t>
  </si>
  <si>
    <t>Jae'Sean Tate</t>
  </si>
  <si>
    <t>Rocco Zikarsky</t>
  </si>
  <si>
    <t>Gary Harris</t>
  </si>
  <si>
    <t>Antonio Reeves</t>
  </si>
  <si>
    <t>Pat Connaughton</t>
  </si>
  <si>
    <t>Jonathan Isaac</t>
  </si>
  <si>
    <t>JD Davison</t>
  </si>
  <si>
    <t>John Tonje</t>
  </si>
  <si>
    <t>Hunter Dickinson</t>
  </si>
  <si>
    <t>Andre Jackson Jr.</t>
  </si>
  <si>
    <t>Chaz Lanier</t>
  </si>
  <si>
    <t>Kevin McCullar Jr.</t>
  </si>
  <si>
    <t>Lachlan Olbrich</t>
  </si>
  <si>
    <t>Lindy Waters III</t>
  </si>
  <si>
    <t>Chris Boucher</t>
  </si>
  <si>
    <t>Caleb Houstan</t>
  </si>
  <si>
    <t>Luke Travers</t>
  </si>
  <si>
    <t>Jeff Green</t>
  </si>
  <si>
    <t>Yang Hansen</t>
  </si>
  <si>
    <t>Ariel Hukporti</t>
  </si>
  <si>
    <t>Alijah Martin</t>
  </si>
  <si>
    <t>Hunter Tyson</t>
  </si>
  <si>
    <t>Dalano Banton</t>
  </si>
  <si>
    <t>Isaiah Crawford</t>
  </si>
  <si>
    <t>Trentyn Flowers</t>
  </si>
  <si>
    <t>Colby Jones</t>
  </si>
  <si>
    <t>Johnny Juzang</t>
  </si>
  <si>
    <t>Jayson Kent</t>
  </si>
  <si>
    <t>Maxi Kleber</t>
  </si>
  <si>
    <t>Jordan McLaughlin</t>
  </si>
  <si>
    <t>Alex Morales</t>
  </si>
  <si>
    <t>Sean Pedulla</t>
  </si>
  <si>
    <t>Adou Thiero</t>
  </si>
  <si>
    <t>Bobi Klintman</t>
  </si>
  <si>
    <t>Isaiah Livers</t>
  </si>
  <si>
    <t>Cody Martin</t>
  </si>
  <si>
    <t>Orlando Robinson</t>
  </si>
  <si>
    <t>Jahmir Young</t>
  </si>
  <si>
    <t>Brooks Barnhizer</t>
  </si>
  <si>
    <t>Pacome Dadiet</t>
  </si>
  <si>
    <t>Wendell Moore Jr.</t>
  </si>
  <si>
    <t>Mason Plumlee</t>
  </si>
  <si>
    <t>Harrison Ingram</t>
  </si>
  <si>
    <t>Jacob Toppin</t>
  </si>
  <si>
    <t>Xavier Tillman Sr.</t>
  </si>
  <si>
    <t>Buddy Boeheim</t>
  </si>
  <si>
    <t>Joe Ingles</t>
  </si>
  <si>
    <t>Jonathan Mogbo</t>
  </si>
  <si>
    <t>Thanasis Antetokounmpo</t>
  </si>
  <si>
    <t>Amari Williams</t>
  </si>
  <si>
    <t>Colin Castleton</t>
  </si>
  <si>
    <t>Nigel Hayes-Davis</t>
  </si>
  <si>
    <t>Dillon Jones</t>
  </si>
  <si>
    <t>TyTy Washington Jr.</t>
  </si>
  <si>
    <t>Javonte Cooke</t>
  </si>
  <si>
    <t>Kyle Lowry</t>
  </si>
  <si>
    <t>Trey Jemison</t>
  </si>
  <si>
    <t>Trevor Keels</t>
  </si>
  <si>
    <t>Hunter Sallis</t>
  </si>
  <si>
    <t>Dario Saric</t>
  </si>
  <si>
    <t>Stanley Umude</t>
  </si>
  <si>
    <t>Bismack Biyombo</t>
  </si>
  <si>
    <t>Johni Broome</t>
  </si>
  <si>
    <t>N'Faly Dante</t>
  </si>
  <si>
    <t>Markelle Fultz</t>
  </si>
  <si>
    <t>Vladislav Goldin</t>
  </si>
  <si>
    <t>Chris Manon</t>
  </si>
  <si>
    <t>Drew Peterson</t>
  </si>
  <si>
    <t>Garrett Temple</t>
  </si>
  <si>
    <t>Max Shulga</t>
  </si>
  <si>
    <t>Jahmyl Telfort</t>
  </si>
  <si>
    <t>Darius Brown II</t>
  </si>
  <si>
    <t>Noa Essengue</t>
  </si>
  <si>
    <t>Tosan Evbuomwan</t>
  </si>
  <si>
    <t>Chucky Hepburn</t>
  </si>
  <si>
    <t>Age Summary Statistics</t>
  </si>
  <si>
    <t>Mean :</t>
  </si>
  <si>
    <t>Median :</t>
  </si>
  <si>
    <t>Std Dev :</t>
  </si>
  <si>
    <t>Skewness :</t>
  </si>
  <si>
    <t xml:space="preserve">Kurtosis : </t>
  </si>
  <si>
    <t>The age distribution is right-skewed, with a slightly higher peak than a normal distribution, so it does not meet normality assumptions. This makes sense given the context,  there are substantially fewer older players in the NBA, creating a longer tail toward higher ages rather than a symmetric spread.</t>
  </si>
  <si>
    <t>Games Played Summary Statistics</t>
  </si>
  <si>
    <t>The games played distribution is left-skewed, with a flatter peak than a normal distribution, so it does not meet normality assumptions. This makes sense given the context , it's more common for players to play the majority of games (barring injury), pushing most values toward the higher end and creating a longer tail toward fewer games played.</t>
  </si>
  <si>
    <t>Minutes/Game Summary Statistics</t>
  </si>
  <si>
    <t>Minutes per game is approximately symmetric , but flatter than normal, so it still does not fully meet normality assumptions. This makes sense given the context, since coaches often distribute minutes fairly evenly across a rotation rather than concentrating heavy minutes on just a few players except for the stars.</t>
  </si>
  <si>
    <t>Rebounds/Game Summary Statistics</t>
  </si>
  <si>
    <t>Rebounds per game is right-skewed with a peak higher than normal, so it does not meet normality assumptions. This makes sense given the context, since most players average a modest number of rebounds while a smaller group of taller, rebound-focused players pulls the distribution's tail toward higher values.</t>
  </si>
  <si>
    <t>Assists/Game Summary Statistics</t>
  </si>
  <si>
    <t>Assists per game is right-skewed with a peak higher than normal, so it does not meet normality assumptions. This makes sense given the context, since most players record relatively few assists while a smaller group of primary ball-handlers and playmakers drives the tail toward much higher values.</t>
  </si>
  <si>
    <t>Points/Game Summary Statistics</t>
  </si>
  <si>
    <t>Points per game is right-skewed with a peak higher than normal, so it does not meet normality assumptions. This makes sense given the context, since most players score modestly while a smaller group of primary scorers and stars pulls the distribution's tail toward much higher point totals.</t>
  </si>
  <si>
    <t>Salary Summary Statistics</t>
  </si>
  <si>
    <t>Salary is heavily right-skewed with a peak higher than normal, so it does not meet normality assumptions. This makes sense given the context, since the majority of players earn closer to league-minimum or mid-level salaries while a small group of star players command max contracts that pull the tail sharply toward much higher values.</t>
  </si>
  <si>
    <t>Variable Used: Salary_Filled</t>
  </si>
  <si>
    <t>Empirical Method used for all questions</t>
  </si>
  <si>
    <t xml:space="preserve">Question 1: </t>
  </si>
  <si>
    <t>What is the probability a player earns more than $10,000,000?</t>
  </si>
  <si>
    <t>Pr(X &gt; 10,000,000) =</t>
  </si>
  <si>
    <t xml:space="preserve">The probability tells us that the majority of players in our dataset earns less than $10,000,000 revealing that a relatively smaller portion (28%) of players represent the higher earning values. This shows along with the salary histogram,  that salary is heavily right-skewed </t>
  </si>
  <si>
    <t>Question 2:</t>
  </si>
  <si>
    <t xml:space="preserve">What is the probability that a players salary falls between $1,000,000 and $5,000,000? </t>
  </si>
  <si>
    <t>Pr(X &lt;= 5,000,000) =</t>
  </si>
  <si>
    <t>Pr(X &lt;= 1,000,000) =</t>
  </si>
  <si>
    <t xml:space="preserve">Pr(1,000,000 &lt; = X &lt;= 5,000,000) = </t>
  </si>
  <si>
    <t>This shows that roughly a third of players fall into the mid-level salary range while a decent share earn at or below $1,000,000 (likely rookies or players on minimum contracts).</t>
  </si>
  <si>
    <t>Question 3:</t>
  </si>
  <si>
    <t>What salary earnings amount marks the 90th percentile?</t>
  </si>
  <si>
    <t xml:space="preserve">90th percentile Salary: </t>
  </si>
  <si>
    <t>This shows that a player needs to earn roughly $28,360,000 or more to be in the top 10% of the salary distribution, showing just how far the highest paid players' salaries pull away from the rest of the league.</t>
  </si>
  <si>
    <t>Probability Commentary</t>
  </si>
  <si>
    <t xml:space="preserve">None of the seven continuous variables in this dataset met the assumptions of a normal distribution. Age, rebounds/game, assists/game, points/game, and especially salary were all right-skewed with sharp peaks, while games played was left-skewed and minutes/game, though almost symmetric, was flatter than a normal curve. Salary was the most skewed distribution, which logically makes sense because most players make salaries on the lower - middle end of the range, but the superstar players with extremely high contracts skew the distribution and increase the average. </t>
  </si>
  <si>
    <t>Since salary was skewed we used percentiles from the dataset instead of the normal distribution to calculate probabilities. This was interesting to analyze from the perspective of a team manager and seeing the math behind contracts and salaries. Only about 28% of players earn over $10 million helps to show what a "top-tier" contract would look like, and about a third of players fall between $1–5 million gives a realistic range for typical deals. The 90th percentile (about $28.36 million) also gives a clear cutoff for spotting superstar-level salaries. The biggest surprise was how different the average salary (~$9.3 million) was from the median (~$3.6 million) emphasizing that the few very high-paid stars can pull the "average" way up, making it a poor way to describe a typical player's pay.</t>
  </si>
  <si>
    <t xml:space="preserve">Usage of AI </t>
  </si>
  <si>
    <t xml:space="preserve">Claude was used in the probability tab to get different ideas for different types of questions pertaining to our dataset. </t>
  </si>
  <si>
    <t>Prompt:</t>
  </si>
  <si>
    <t>can you give me a question that would allow to use the percentile function</t>
  </si>
  <si>
    <t>Output:</t>
  </si>
  <si>
    <t>Here's one that fits naturally with the PERCENTILE function:</t>
  </si>
  <si>
    <t>What salary value marks the 90th percentile — meaning, what salary would a player need to earn to be in the top 10% of earners in the dataset?</t>
  </si>
  <si>
    <t>You'd calculate this with:</t>
  </si>
  <si>
    <t>"=PERCENTILE(nba_contracts_performance_final!K2:K567,0.9)"</t>
  </si>
  <si>
    <t>The limitation I faced was finding different ways to pose questions to uncover the true distribution of the salary earnings from players in our dataset. I overcame this by finding different  ways to use functions discussed in class to reveal a better story from the salary column.</t>
  </si>
  <si>
    <t>Q1</t>
  </si>
  <si>
    <t>✓</t>
  </si>
  <si>
    <t>Q2</t>
  </si>
  <si>
    <t>Q3</t>
  </si>
  <si>
    <t>Player's salary will be out main continuous variable of interest</t>
  </si>
  <si>
    <t>We want to explore it against performance metrics.</t>
  </si>
  <si>
    <t xml:space="preserve"> It can still be very interesting in binary form, using it to look at over or under certain threshold values.</t>
  </si>
  <si>
    <t>Q4</t>
  </si>
  <si>
    <t>Contract data</t>
  </si>
  <si>
    <t>spotrac.com/nba/rankings/player/_/year/2025/sort/cap_base</t>
  </si>
  <si>
    <t>Performance data</t>
  </si>
  <si>
    <t>basketball-reference.com/leagues/NBA_2026_per_game.html</t>
  </si>
  <si>
    <t>Int. status</t>
  </si>
  <si>
    <t>pr.nba.com/international-players-2025-26-nba-rosters</t>
  </si>
  <si>
    <t>Accessed</t>
  </si>
  <si>
    <t>Navigating through these public data sets and compiling them into one full data set</t>
  </si>
  <si>
    <t>Q5</t>
  </si>
  <si>
    <t>Colin</t>
  </si>
  <si>
    <t>Cleaned the data, accessed and pulled the source data, and compiled it into a clean, submission-ready Excel file.</t>
  </si>
  <si>
    <t>Leah</t>
  </si>
  <si>
    <t>Identified a data category and dataset direction, organized team meetings, and asked clarifying questions to guide scope.</t>
  </si>
  <si>
    <t>Sean</t>
  </si>
  <si>
    <t>Evaluated and identified a dataset that fit the project rubric requirements.</t>
  </si>
  <si>
    <t>Q6</t>
  </si>
  <si>
    <t>We chose this dataset because we all have an interest in sports analytics and enjoy watching basketball. We also are intrigued by the methods teams use to make contracts and evaluate performance. We hope to learn more about the ways player salaries are determined and analyze player and team performance through data, not just scores. We want to get more experience and gain understanding on the business of sports.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</si>
</sst>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7">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b/>
      <sz val="11"/>
      <color rgb="FF000000"/>
      <name val="Aptos Narrow"/>
      <family val="2"/>
      <scheme val="minor"/>
    </font>
    <font>
      <sz val="10"/>
      <name val="Segoe UI"/>
      <family val="2"/>
    </font>
    <font>
      <sz val="10"/>
      <name val="Aptos Narrow"/>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3">
    <xf numFmtId="0" fontId="0" fillId="0" borderId="0"/>
    <xf numFmtId="44" fontId="1" fillId="0" borderId="0"/>
    <xf numFmtId="9" fontId="1" fillId="0" borderId="0" applyFont="0" applyFill="0" applyBorder="0" applyAlignment="0" applyProtection="0"/>
  </cellStyleXfs>
  <cellXfs count="21">
    <xf numFmtId="0" fontId="0" fillId="0" borderId="0" xfId="0"/>
    <xf numFmtId="44" fontId="0" fillId="0" borderId="0" xfId="1" applyFont="1"/>
    <xf numFmtId="0" fontId="0" fillId="0" borderId="0" xfId="0" applyAlignment="1">
      <alignment horizontal="left"/>
    </xf>
    <xf numFmtId="0" fontId="0" fillId="0" borderId="0" xfId="0" applyAlignment="1">
      <alignment horizontal="left" vertical="center"/>
    </xf>
    <xf numFmtId="0" fontId="0" fillId="2" borderId="0" xfId="0" applyFill="1" applyAlignment="1">
      <alignment horizontal="left"/>
    </xf>
    <xf numFmtId="0" fontId="0" fillId="0" borderId="0" xfId="0" applyAlignment="1">
      <alignment vertical="center"/>
    </xf>
    <xf numFmtId="2" fontId="0" fillId="0" borderId="0" xfId="0" applyNumberFormat="1"/>
    <xf numFmtId="44" fontId="0" fillId="0" borderId="0" xfId="0" applyNumberFormat="1"/>
    <xf numFmtId="0" fontId="2" fillId="0" borderId="0" xfId="0" applyFont="1"/>
    <xf numFmtId="10" fontId="0" fillId="2" borderId="0" xfId="2" applyNumberFormat="1" applyFont="1" applyFill="1"/>
    <xf numFmtId="10" fontId="0" fillId="0" borderId="0" xfId="2" applyNumberFormat="1" applyFont="1"/>
    <xf numFmtId="10" fontId="0" fillId="2" borderId="0" xfId="0" applyNumberFormat="1" applyFill="1"/>
    <xf numFmtId="44" fontId="1" fillId="2" borderId="0" xfId="1" applyFill="1"/>
    <xf numFmtId="0" fontId="4" fillId="2" borderId="0" xfId="0" applyFont="1" applyFill="1"/>
    <xf numFmtId="0" fontId="3" fillId="0" borderId="0" xfId="0" applyFont="1"/>
    <xf numFmtId="0" fontId="0" fillId="0" borderId="0" xfId="0" applyAlignment="1">
      <alignment wrapText="1"/>
    </xf>
    <xf numFmtId="0" fontId="0" fillId="0" borderId="0" xfId="0" applyAlignment="1">
      <alignment vertical="center" wrapText="1"/>
    </xf>
    <xf numFmtId="0" fontId="0" fillId="2" borderId="0" xfId="0" applyFill="1"/>
    <xf numFmtId="0" fontId="5" fillId="0" borderId="0" xfId="0" applyFont="1"/>
    <xf numFmtId="0" fontId="6" fillId="0" borderId="0" xfId="0" applyFont="1" applyAlignment="1">
      <alignment vertical="center"/>
    </xf>
    <xf numFmtId="0" fontId="0" fillId="0" borderId="0" xfId="0" applyAlignment="1">
      <alignment horizontal="left" vertical="center" wrapText="1"/>
    </xf>
  </cellXfs>
  <cellStyles count="3">
    <cellStyle name="Currency" xfId="1" builtinId="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Age Histogram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4">
                <a:lumMod val="60000"/>
                <a:lumOff val="40000"/>
              </a:schemeClr>
            </a:solidFill>
            <a:ln>
              <a:solidFill>
                <a:schemeClr val="tx1"/>
              </a:solidFill>
            </a:ln>
            <a:effectLst/>
          </c:spPr>
          <c:invertIfNegative val="0"/>
          <c:cat>
            <c:strLit>
              <c:ptCount val="23"/>
              <c:pt idx="0">
                <c:v>19</c:v>
              </c:pt>
              <c:pt idx="1">
                <c:v>20</c:v>
              </c:pt>
              <c:pt idx="2">
                <c:v>21</c:v>
              </c:pt>
              <c:pt idx="3">
                <c:v>22</c:v>
              </c:pt>
              <c:pt idx="4">
                <c:v>23</c:v>
              </c:pt>
              <c:pt idx="5">
                <c:v>24</c:v>
              </c:pt>
              <c:pt idx="6">
                <c:v>25</c:v>
              </c:pt>
              <c:pt idx="7">
                <c:v>26</c:v>
              </c:pt>
              <c:pt idx="8">
                <c:v>27</c:v>
              </c:pt>
              <c:pt idx="9">
                <c:v>28</c:v>
              </c:pt>
              <c:pt idx="10">
                <c:v>29</c:v>
              </c:pt>
              <c:pt idx="11">
                <c:v>30</c:v>
              </c:pt>
              <c:pt idx="12">
                <c:v>31</c:v>
              </c:pt>
              <c:pt idx="13">
                <c:v>32</c:v>
              </c:pt>
              <c:pt idx="14">
                <c:v>33</c:v>
              </c:pt>
              <c:pt idx="15">
                <c:v>34</c:v>
              </c:pt>
              <c:pt idx="16">
                <c:v>35</c:v>
              </c:pt>
              <c:pt idx="17">
                <c:v>36</c:v>
              </c:pt>
              <c:pt idx="18">
                <c:v>37</c:v>
              </c:pt>
              <c:pt idx="19">
                <c:v>38</c:v>
              </c:pt>
              <c:pt idx="20">
                <c:v>39</c:v>
              </c:pt>
              <c:pt idx="21">
                <c:v>40</c:v>
              </c:pt>
              <c:pt idx="22">
                <c:v>41</c:v>
              </c:pt>
            </c:strLit>
          </c:cat>
          <c:val>
            <c:numLit>
              <c:formatCode>General</c:formatCode>
              <c:ptCount val="23"/>
              <c:pt idx="0">
                <c:v>15</c:v>
              </c:pt>
              <c:pt idx="1">
                <c:v>19</c:v>
              </c:pt>
              <c:pt idx="2">
                <c:v>31</c:v>
              </c:pt>
              <c:pt idx="3">
                <c:v>48</c:v>
              </c:pt>
              <c:pt idx="4">
                <c:v>59</c:v>
              </c:pt>
              <c:pt idx="5">
                <c:v>75</c:v>
              </c:pt>
              <c:pt idx="6">
                <c:v>58</c:v>
              </c:pt>
              <c:pt idx="7">
                <c:v>56</c:v>
              </c:pt>
              <c:pt idx="8">
                <c:v>41</c:v>
              </c:pt>
              <c:pt idx="9">
                <c:v>32</c:v>
              </c:pt>
              <c:pt idx="10">
                <c:v>30</c:v>
              </c:pt>
              <c:pt idx="11">
                <c:v>22</c:v>
              </c:pt>
              <c:pt idx="12">
                <c:v>19</c:v>
              </c:pt>
              <c:pt idx="13">
                <c:v>11</c:v>
              </c:pt>
              <c:pt idx="14">
                <c:v>16</c:v>
              </c:pt>
              <c:pt idx="15">
                <c:v>7</c:v>
              </c:pt>
              <c:pt idx="16">
                <c:v>7</c:v>
              </c:pt>
              <c:pt idx="17">
                <c:v>3</c:v>
              </c:pt>
              <c:pt idx="18">
                <c:v>8</c:v>
              </c:pt>
              <c:pt idx="19">
                <c:v>2</c:v>
              </c:pt>
              <c:pt idx="20">
                <c:v>4</c:v>
              </c:pt>
              <c:pt idx="21">
                <c:v>2</c:v>
              </c:pt>
              <c:pt idx="22">
                <c:v>1</c:v>
              </c:pt>
            </c:numLit>
          </c:val>
          <c:extLst>
            <c:ext xmlns:c16="http://schemas.microsoft.com/office/drawing/2014/chart" uri="{C3380CC4-5D6E-409C-BE32-E72D297353CC}">
              <c16:uniqueId val="{00000000-D2B8-4E49-BB2D-EB31226061CE}"/>
            </c:ext>
          </c:extLst>
        </c:ser>
        <c:dLbls>
          <c:showLegendKey val="0"/>
          <c:showVal val="0"/>
          <c:showCatName val="0"/>
          <c:showSerName val="0"/>
          <c:showPercent val="0"/>
          <c:showBubbleSize val="0"/>
        </c:dLbls>
        <c:gapWidth val="0"/>
        <c:overlap val="-27"/>
        <c:axId val="487128479"/>
        <c:axId val="487125119"/>
      </c:barChart>
      <c:catAx>
        <c:axId val="487128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125119"/>
        <c:crosses val="autoZero"/>
        <c:auto val="1"/>
        <c:lblAlgn val="ctr"/>
        <c:lblOffset val="100"/>
        <c:noMultiLvlLbl val="0"/>
      </c:catAx>
      <c:valAx>
        <c:axId val="4871251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712847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Games</a:t>
            </a:r>
            <a:r>
              <a:rPr lang="en-US" baseline="0"/>
              <a:t> Played Histogram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4">
                <a:lumMod val="60000"/>
                <a:lumOff val="40000"/>
              </a:schemeClr>
            </a:solidFill>
            <a:ln>
              <a:solidFill>
                <a:sysClr val="windowText" lastClr="000000"/>
              </a:solidFill>
            </a:ln>
            <a:effectLst/>
          </c:spPr>
          <c:invertIfNegative val="0"/>
          <c:cat>
            <c:strLit>
              <c:ptCount val="9"/>
              <c:pt idx="0">
                <c:v>0-9</c:v>
              </c:pt>
              <c:pt idx="1">
                <c:v>10-19</c:v>
              </c:pt>
              <c:pt idx="2">
                <c:v>20-29</c:v>
              </c:pt>
              <c:pt idx="3">
                <c:v>30-39</c:v>
              </c:pt>
              <c:pt idx="4">
                <c:v>40-49</c:v>
              </c:pt>
              <c:pt idx="5">
                <c:v>50-59</c:v>
              </c:pt>
              <c:pt idx="6">
                <c:v>60-69</c:v>
              </c:pt>
              <c:pt idx="7">
                <c:v>70-79</c:v>
              </c:pt>
              <c:pt idx="8">
                <c:v>80-89</c:v>
              </c:pt>
            </c:strLit>
          </c:cat>
          <c:val>
            <c:numLit>
              <c:formatCode>General</c:formatCode>
              <c:ptCount val="9"/>
              <c:pt idx="0">
                <c:v>71</c:v>
              </c:pt>
              <c:pt idx="1">
                <c:v>52</c:v>
              </c:pt>
              <c:pt idx="2">
                <c:v>35</c:v>
              </c:pt>
              <c:pt idx="3">
                <c:v>45</c:v>
              </c:pt>
              <c:pt idx="4">
                <c:v>60</c:v>
              </c:pt>
              <c:pt idx="5">
                <c:v>80</c:v>
              </c:pt>
              <c:pt idx="6">
                <c:v>106</c:v>
              </c:pt>
              <c:pt idx="7">
                <c:v>93</c:v>
              </c:pt>
              <c:pt idx="8">
                <c:v>24</c:v>
              </c:pt>
            </c:numLit>
          </c:val>
          <c:extLst>
            <c:ext xmlns:c16="http://schemas.microsoft.com/office/drawing/2014/chart" uri="{C3380CC4-5D6E-409C-BE32-E72D297353CC}">
              <c16:uniqueId val="{00000000-9AA9-4B4D-B141-EAD7EBD96D6C}"/>
            </c:ext>
          </c:extLst>
        </c:ser>
        <c:dLbls>
          <c:showLegendKey val="0"/>
          <c:showVal val="0"/>
          <c:showCatName val="0"/>
          <c:showSerName val="0"/>
          <c:showPercent val="0"/>
          <c:showBubbleSize val="0"/>
        </c:dLbls>
        <c:gapWidth val="0"/>
        <c:overlap val="-27"/>
        <c:axId val="244394255"/>
        <c:axId val="500632207"/>
      </c:barChart>
      <c:catAx>
        <c:axId val="24439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632207"/>
        <c:crosses val="autoZero"/>
        <c:auto val="1"/>
        <c:lblAlgn val="ctr"/>
        <c:lblOffset val="100"/>
        <c:noMultiLvlLbl val="0"/>
      </c:catAx>
      <c:valAx>
        <c:axId val="5006322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43942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Minutes/Game</a:t>
            </a:r>
            <a:r>
              <a:rPr lang="en-US" baseline="0"/>
              <a:t> Histogram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4">
                <a:lumMod val="60000"/>
                <a:lumOff val="40000"/>
              </a:schemeClr>
            </a:solidFill>
            <a:ln>
              <a:solidFill>
                <a:sysClr val="windowText" lastClr="000000"/>
              </a:solidFill>
            </a:ln>
            <a:effectLst/>
          </c:spPr>
          <c:invertIfNegative val="0"/>
          <c:cat>
            <c:strLit>
              <c:ptCount val="8"/>
              <c:pt idx="0">
                <c:v>0-5</c:v>
              </c:pt>
              <c:pt idx="1">
                <c:v>5-10</c:v>
              </c:pt>
              <c:pt idx="2">
                <c:v>10-15</c:v>
              </c:pt>
              <c:pt idx="3">
                <c:v>15-20</c:v>
              </c:pt>
              <c:pt idx="4">
                <c:v>20-25</c:v>
              </c:pt>
              <c:pt idx="5">
                <c:v>25-30</c:v>
              </c:pt>
              <c:pt idx="6">
                <c:v>30-35</c:v>
              </c:pt>
              <c:pt idx="7">
                <c:v>35-40</c:v>
              </c:pt>
            </c:strLit>
          </c:cat>
          <c:val>
            <c:numLit>
              <c:formatCode>General</c:formatCode>
              <c:ptCount val="8"/>
              <c:pt idx="0">
                <c:v>26</c:v>
              </c:pt>
              <c:pt idx="1">
                <c:v>75</c:v>
              </c:pt>
              <c:pt idx="2">
                <c:v>79</c:v>
              </c:pt>
              <c:pt idx="3">
                <c:v>95</c:v>
              </c:pt>
              <c:pt idx="4">
                <c:v>100</c:v>
              </c:pt>
              <c:pt idx="5">
                <c:v>100</c:v>
              </c:pt>
              <c:pt idx="6">
                <c:v>79</c:v>
              </c:pt>
              <c:pt idx="7">
                <c:v>12</c:v>
              </c:pt>
            </c:numLit>
          </c:val>
          <c:extLst>
            <c:ext xmlns:c16="http://schemas.microsoft.com/office/drawing/2014/chart" uri="{C3380CC4-5D6E-409C-BE32-E72D297353CC}">
              <c16:uniqueId val="{00000000-879A-4ACC-931E-82694E18F16E}"/>
            </c:ext>
          </c:extLst>
        </c:ser>
        <c:dLbls>
          <c:showLegendKey val="0"/>
          <c:showVal val="0"/>
          <c:showCatName val="0"/>
          <c:showSerName val="0"/>
          <c:showPercent val="0"/>
          <c:showBubbleSize val="0"/>
        </c:dLbls>
        <c:gapWidth val="0"/>
        <c:overlap val="-27"/>
        <c:axId val="256161087"/>
        <c:axId val="256161567"/>
      </c:barChart>
      <c:catAx>
        <c:axId val="2561610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161567"/>
        <c:crosses val="autoZero"/>
        <c:auto val="1"/>
        <c:lblAlgn val="ctr"/>
        <c:lblOffset val="100"/>
        <c:noMultiLvlLbl val="0"/>
      </c:catAx>
      <c:valAx>
        <c:axId val="2561615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6161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Rebounds/Game</a:t>
            </a:r>
            <a:r>
              <a:rPr lang="en-US" baseline="0"/>
              <a:t> Histogram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4">
                <a:lumMod val="60000"/>
                <a:lumOff val="40000"/>
              </a:schemeClr>
            </a:solidFill>
            <a:ln>
              <a:solidFill>
                <a:sysClr val="windowText" lastClr="000000"/>
              </a:solidFill>
            </a:ln>
            <a:effectLst/>
          </c:spPr>
          <c:invertIfNegative val="0"/>
          <c:cat>
            <c:strLit>
              <c:ptCount val="7"/>
              <c:pt idx="0">
                <c:v>0-2</c:v>
              </c:pt>
              <c:pt idx="1">
                <c:v>2-4</c:v>
              </c:pt>
              <c:pt idx="2">
                <c:v>4-6</c:v>
              </c:pt>
              <c:pt idx="3">
                <c:v>6-8</c:v>
              </c:pt>
              <c:pt idx="4">
                <c:v>8-10</c:v>
              </c:pt>
              <c:pt idx="5">
                <c:v>10-12</c:v>
              </c:pt>
              <c:pt idx="6">
                <c:v>12-14</c:v>
              </c:pt>
            </c:strLit>
          </c:cat>
          <c:val>
            <c:numLit>
              <c:formatCode>General</c:formatCode>
              <c:ptCount val="7"/>
              <c:pt idx="0">
                <c:v>144</c:v>
              </c:pt>
              <c:pt idx="1">
                <c:v>218</c:v>
              </c:pt>
              <c:pt idx="2">
                <c:v>128</c:v>
              </c:pt>
              <c:pt idx="3">
                <c:v>42</c:v>
              </c:pt>
              <c:pt idx="4">
                <c:v>18</c:v>
              </c:pt>
              <c:pt idx="5">
                <c:v>15</c:v>
              </c:pt>
              <c:pt idx="6">
                <c:v>1</c:v>
              </c:pt>
            </c:numLit>
          </c:val>
          <c:extLst>
            <c:ext xmlns:c16="http://schemas.microsoft.com/office/drawing/2014/chart" uri="{C3380CC4-5D6E-409C-BE32-E72D297353CC}">
              <c16:uniqueId val="{00000000-06E4-4433-B378-3B0FE006689C}"/>
            </c:ext>
          </c:extLst>
        </c:ser>
        <c:dLbls>
          <c:showLegendKey val="0"/>
          <c:showVal val="0"/>
          <c:showCatName val="0"/>
          <c:showSerName val="0"/>
          <c:showPercent val="0"/>
          <c:showBubbleSize val="0"/>
        </c:dLbls>
        <c:gapWidth val="0"/>
        <c:overlap val="-27"/>
        <c:axId val="490575023"/>
        <c:axId val="490573583"/>
      </c:barChart>
      <c:catAx>
        <c:axId val="490575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573583"/>
        <c:crosses val="autoZero"/>
        <c:auto val="1"/>
        <c:lblAlgn val="ctr"/>
        <c:lblOffset val="100"/>
        <c:noMultiLvlLbl val="0"/>
      </c:catAx>
      <c:valAx>
        <c:axId val="490573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0575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Assists/Game</a:t>
            </a:r>
            <a:r>
              <a:rPr lang="en-US" baseline="0"/>
              <a:t> Histogram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4">
                <a:lumMod val="60000"/>
                <a:lumOff val="40000"/>
              </a:schemeClr>
            </a:solidFill>
            <a:ln>
              <a:solidFill>
                <a:sysClr val="windowText" lastClr="000000"/>
              </a:solidFill>
            </a:ln>
            <a:effectLst/>
          </c:spPr>
          <c:invertIfNegative val="0"/>
          <c:cat>
            <c:strLit>
              <c:ptCount val="6"/>
              <c:pt idx="0">
                <c:v>0-2</c:v>
              </c:pt>
              <c:pt idx="1">
                <c:v>2-4</c:v>
              </c:pt>
              <c:pt idx="2">
                <c:v>4-6</c:v>
              </c:pt>
              <c:pt idx="3">
                <c:v>6-8</c:v>
              </c:pt>
              <c:pt idx="4">
                <c:v>8-10</c:v>
              </c:pt>
              <c:pt idx="5">
                <c:v>10-12</c:v>
              </c:pt>
            </c:strLit>
          </c:cat>
          <c:val>
            <c:numLit>
              <c:formatCode>General</c:formatCode>
              <c:ptCount val="6"/>
              <c:pt idx="0">
                <c:v>326</c:v>
              </c:pt>
              <c:pt idx="1">
                <c:v>166</c:v>
              </c:pt>
              <c:pt idx="2">
                <c:v>45</c:v>
              </c:pt>
              <c:pt idx="3">
                <c:v>22</c:v>
              </c:pt>
              <c:pt idx="4">
                <c:v>6</c:v>
              </c:pt>
              <c:pt idx="5">
                <c:v>1</c:v>
              </c:pt>
            </c:numLit>
          </c:val>
          <c:extLst>
            <c:ext xmlns:c16="http://schemas.microsoft.com/office/drawing/2014/chart" uri="{C3380CC4-5D6E-409C-BE32-E72D297353CC}">
              <c16:uniqueId val="{00000000-DFBF-4CBF-9497-4131E434190A}"/>
            </c:ext>
          </c:extLst>
        </c:ser>
        <c:dLbls>
          <c:showLegendKey val="0"/>
          <c:showVal val="0"/>
          <c:showCatName val="0"/>
          <c:showSerName val="0"/>
          <c:showPercent val="0"/>
          <c:showBubbleSize val="0"/>
        </c:dLbls>
        <c:gapWidth val="0"/>
        <c:overlap val="-27"/>
        <c:axId val="489438607"/>
        <c:axId val="489441967"/>
      </c:barChart>
      <c:catAx>
        <c:axId val="4894386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441967"/>
        <c:crosses val="autoZero"/>
        <c:auto val="1"/>
        <c:lblAlgn val="ctr"/>
        <c:lblOffset val="100"/>
        <c:noMultiLvlLbl val="0"/>
      </c:catAx>
      <c:valAx>
        <c:axId val="48944196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9438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Points/Game Histogram</a:t>
            </a:r>
          </a:p>
        </c:rich>
      </c:tx>
      <c:layout>
        <c:manualLayout>
          <c:xMode val="edge"/>
          <c:yMode val="edge"/>
          <c:x val="0.37883548007203327"/>
          <c:y val="3.22061191626408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4">
                <a:lumMod val="60000"/>
                <a:lumOff val="40000"/>
              </a:schemeClr>
            </a:solidFill>
            <a:ln>
              <a:solidFill>
                <a:sysClr val="windowText" lastClr="000000"/>
              </a:solidFill>
            </a:ln>
            <a:effectLst/>
          </c:spPr>
          <c:invertIfNegative val="0"/>
          <c:cat>
            <c:strLit>
              <c:ptCount val="7"/>
              <c:pt idx="0">
                <c:v>0-5</c:v>
              </c:pt>
              <c:pt idx="1">
                <c:v>5-10</c:v>
              </c:pt>
              <c:pt idx="2">
                <c:v>10-15</c:v>
              </c:pt>
              <c:pt idx="3">
                <c:v>15-20</c:v>
              </c:pt>
              <c:pt idx="4">
                <c:v>20-25</c:v>
              </c:pt>
              <c:pt idx="5">
                <c:v>25-30</c:v>
              </c:pt>
              <c:pt idx="6">
                <c:v>30-35</c:v>
              </c:pt>
            </c:strLit>
          </c:cat>
          <c:val>
            <c:numLit>
              <c:formatCode>General</c:formatCode>
              <c:ptCount val="7"/>
              <c:pt idx="0">
                <c:v>164</c:v>
              </c:pt>
              <c:pt idx="1">
                <c:v>187</c:v>
              </c:pt>
              <c:pt idx="2">
                <c:v>114</c:v>
              </c:pt>
              <c:pt idx="3">
                <c:v>54</c:v>
              </c:pt>
              <c:pt idx="4">
                <c:v>30</c:v>
              </c:pt>
              <c:pt idx="5">
                <c:v>15</c:v>
              </c:pt>
              <c:pt idx="6">
                <c:v>2</c:v>
              </c:pt>
            </c:numLit>
          </c:val>
          <c:extLst>
            <c:ext xmlns:c16="http://schemas.microsoft.com/office/drawing/2014/chart" uri="{C3380CC4-5D6E-409C-BE32-E72D297353CC}">
              <c16:uniqueId val="{00000000-5C43-4AAD-BCD6-DD695238957E}"/>
            </c:ext>
          </c:extLst>
        </c:ser>
        <c:dLbls>
          <c:showLegendKey val="0"/>
          <c:showVal val="0"/>
          <c:showCatName val="0"/>
          <c:showSerName val="0"/>
          <c:showPercent val="0"/>
          <c:showBubbleSize val="0"/>
        </c:dLbls>
        <c:gapWidth val="0"/>
        <c:overlap val="-27"/>
        <c:axId val="1913479183"/>
        <c:axId val="1913479663"/>
      </c:barChart>
      <c:catAx>
        <c:axId val="19134791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79663"/>
        <c:crosses val="autoZero"/>
        <c:auto val="1"/>
        <c:lblAlgn val="ctr"/>
        <c:lblOffset val="100"/>
        <c:noMultiLvlLbl val="0"/>
      </c:catAx>
      <c:valAx>
        <c:axId val="19134796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3479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Salary</a:t>
            </a:r>
            <a:r>
              <a:rPr lang="en-US" baseline="0"/>
              <a:t> Histogram</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60000"/>
              <a:lumOff val="40000"/>
            </a:schemeClr>
          </a:solidFill>
          <a:ln>
            <a:solidFill>
              <a:sysClr val="windowText" lastClr="00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4">
                <a:lumMod val="60000"/>
                <a:lumOff val="40000"/>
              </a:schemeClr>
            </a:solidFill>
            <a:ln>
              <a:solidFill>
                <a:sysClr val="windowText" lastClr="000000"/>
              </a:solidFill>
            </a:ln>
            <a:effectLst/>
          </c:spPr>
          <c:invertIfNegative val="0"/>
          <c:cat>
            <c:strLit>
              <c:ptCount val="12"/>
              <c:pt idx="0">
                <c:v>10000-5009999</c:v>
              </c:pt>
              <c:pt idx="1">
                <c:v>5010000-10009999</c:v>
              </c:pt>
              <c:pt idx="2">
                <c:v>10010000-15009999</c:v>
              </c:pt>
              <c:pt idx="3">
                <c:v>15010000-20009999</c:v>
              </c:pt>
              <c:pt idx="4">
                <c:v>20010000-25009999</c:v>
              </c:pt>
              <c:pt idx="5">
                <c:v>25010000-30009999</c:v>
              </c:pt>
              <c:pt idx="6">
                <c:v>30010000-35009999</c:v>
              </c:pt>
              <c:pt idx="7">
                <c:v>35010000-40009999</c:v>
              </c:pt>
              <c:pt idx="8">
                <c:v>40010000-45009999</c:v>
              </c:pt>
              <c:pt idx="9">
                <c:v>45010000-50009999</c:v>
              </c:pt>
              <c:pt idx="10">
                <c:v>50010000-55009999</c:v>
              </c:pt>
              <c:pt idx="11">
                <c:v>55010000-60009999</c:v>
              </c:pt>
            </c:strLit>
          </c:cat>
          <c:val>
            <c:numLit>
              <c:formatCode>General</c:formatCode>
              <c:ptCount val="12"/>
              <c:pt idx="0">
                <c:v>324</c:v>
              </c:pt>
              <c:pt idx="1">
                <c:v>81</c:v>
              </c:pt>
              <c:pt idx="2">
                <c:v>52</c:v>
              </c:pt>
              <c:pt idx="3">
                <c:v>25</c:v>
              </c:pt>
              <c:pt idx="4">
                <c:v>16</c:v>
              </c:pt>
              <c:pt idx="5">
                <c:v>13</c:v>
              </c:pt>
              <c:pt idx="6">
                <c:v>15</c:v>
              </c:pt>
              <c:pt idx="7">
                <c:v>15</c:v>
              </c:pt>
              <c:pt idx="8">
                <c:v>1</c:v>
              </c:pt>
              <c:pt idx="9">
                <c:v>11</c:v>
              </c:pt>
              <c:pt idx="10">
                <c:v>10</c:v>
              </c:pt>
              <c:pt idx="11">
                <c:v>3</c:v>
              </c:pt>
            </c:numLit>
          </c:val>
          <c:extLst>
            <c:ext xmlns:c16="http://schemas.microsoft.com/office/drawing/2014/chart" uri="{C3380CC4-5D6E-409C-BE32-E72D297353CC}">
              <c16:uniqueId val="{00000000-CE40-4C23-AE2A-AA5582E73712}"/>
            </c:ext>
          </c:extLst>
        </c:ser>
        <c:dLbls>
          <c:showLegendKey val="0"/>
          <c:showVal val="0"/>
          <c:showCatName val="0"/>
          <c:showSerName val="0"/>
          <c:showPercent val="0"/>
          <c:showBubbleSize val="0"/>
        </c:dLbls>
        <c:gapWidth val="0"/>
        <c:overlap val="-27"/>
        <c:axId val="525945696"/>
        <c:axId val="525959616"/>
      </c:barChart>
      <c:catAx>
        <c:axId val="525945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959616"/>
        <c:crosses val="autoZero"/>
        <c:auto val="1"/>
        <c:lblAlgn val="ctr"/>
        <c:lblOffset val="100"/>
        <c:noMultiLvlLbl val="0"/>
      </c:catAx>
      <c:valAx>
        <c:axId val="5259596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945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8</xdr:col>
      <xdr:colOff>312420</xdr:colOff>
      <xdr:row>19</xdr:row>
      <xdr:rowOff>3810</xdr:rowOff>
    </xdr:to>
    <xdr:graphicFrame macro="">
      <xdr:nvGraphicFramePr>
        <xdr:cNvPr id="3" name="Chart 2">
          <a:extLst>
            <a:ext uri="{FF2B5EF4-FFF2-40B4-BE49-F238E27FC236}">
              <a16:creationId xmlns:a16="http://schemas.microsoft.com/office/drawing/2014/main" id="{51DB43B5-963B-0FDC-A5D0-6EE0143E3C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22</xdr:row>
      <xdr:rowOff>163830</xdr:rowOff>
    </xdr:from>
    <xdr:to>
      <xdr:col>8</xdr:col>
      <xdr:colOff>350520</xdr:colOff>
      <xdr:row>40</xdr:row>
      <xdr:rowOff>22860</xdr:rowOff>
    </xdr:to>
    <xdr:graphicFrame macro="">
      <xdr:nvGraphicFramePr>
        <xdr:cNvPr id="6" name="Chart 5">
          <a:extLst>
            <a:ext uri="{FF2B5EF4-FFF2-40B4-BE49-F238E27FC236}">
              <a16:creationId xmlns:a16="http://schemas.microsoft.com/office/drawing/2014/main" id="{0845FFBC-8BA4-782F-BFB5-78D238AD70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42</xdr:row>
      <xdr:rowOff>171450</xdr:rowOff>
    </xdr:from>
    <xdr:to>
      <xdr:col>8</xdr:col>
      <xdr:colOff>510540</xdr:colOff>
      <xdr:row>60</xdr:row>
      <xdr:rowOff>68580</xdr:rowOff>
    </xdr:to>
    <xdr:graphicFrame macro="">
      <xdr:nvGraphicFramePr>
        <xdr:cNvPr id="8" name="Chart 7">
          <a:extLst>
            <a:ext uri="{FF2B5EF4-FFF2-40B4-BE49-F238E27FC236}">
              <a16:creationId xmlns:a16="http://schemas.microsoft.com/office/drawing/2014/main" id="{C580219A-AD9F-00BE-047E-CBD5B2BCB0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63</xdr:row>
      <xdr:rowOff>3810</xdr:rowOff>
    </xdr:from>
    <xdr:to>
      <xdr:col>8</xdr:col>
      <xdr:colOff>464820</xdr:colOff>
      <xdr:row>84</xdr:row>
      <xdr:rowOff>7620</xdr:rowOff>
    </xdr:to>
    <xdr:graphicFrame macro="">
      <xdr:nvGraphicFramePr>
        <xdr:cNvPr id="9" name="Chart 8">
          <a:extLst>
            <a:ext uri="{FF2B5EF4-FFF2-40B4-BE49-F238E27FC236}">
              <a16:creationId xmlns:a16="http://schemas.microsoft.com/office/drawing/2014/main" id="{9FFFBB42-772E-341D-2104-52FE8FE66A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85</xdr:row>
      <xdr:rowOff>163830</xdr:rowOff>
    </xdr:from>
    <xdr:to>
      <xdr:col>8</xdr:col>
      <xdr:colOff>457200</xdr:colOff>
      <xdr:row>105</xdr:row>
      <xdr:rowOff>68580</xdr:rowOff>
    </xdr:to>
    <xdr:graphicFrame macro="">
      <xdr:nvGraphicFramePr>
        <xdr:cNvPr id="10" name="Chart 9">
          <a:extLst>
            <a:ext uri="{FF2B5EF4-FFF2-40B4-BE49-F238E27FC236}">
              <a16:creationId xmlns:a16="http://schemas.microsoft.com/office/drawing/2014/main" id="{B048923C-A61E-2635-E76C-2491720D3E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107</xdr:row>
      <xdr:rowOff>179070</xdr:rowOff>
    </xdr:from>
    <xdr:to>
      <xdr:col>8</xdr:col>
      <xdr:colOff>403860</xdr:colOff>
      <xdr:row>129</xdr:row>
      <xdr:rowOff>99060</xdr:rowOff>
    </xdr:to>
    <xdr:graphicFrame macro="">
      <xdr:nvGraphicFramePr>
        <xdr:cNvPr id="11" name="Chart 10">
          <a:extLst>
            <a:ext uri="{FF2B5EF4-FFF2-40B4-BE49-F238E27FC236}">
              <a16:creationId xmlns:a16="http://schemas.microsoft.com/office/drawing/2014/main" id="{13361C29-329C-7799-7033-4E8C2C52A5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132</xdr:row>
      <xdr:rowOff>148590</xdr:rowOff>
    </xdr:from>
    <xdr:to>
      <xdr:col>8</xdr:col>
      <xdr:colOff>335280</xdr:colOff>
      <xdr:row>153</xdr:row>
      <xdr:rowOff>160020</xdr:rowOff>
    </xdr:to>
    <xdr:graphicFrame macro="">
      <xdr:nvGraphicFramePr>
        <xdr:cNvPr id="2" name="Chart 1">
          <a:extLst>
            <a:ext uri="{FF2B5EF4-FFF2-40B4-BE49-F238E27FC236}">
              <a16:creationId xmlns:a16="http://schemas.microsoft.com/office/drawing/2014/main" id="{049E6B06-E6E1-8BD3-EE06-4A8319828B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567"/>
  <sheetViews>
    <sheetView topLeftCell="A481" zoomScale="84" workbookViewId="0">
      <selection activeCell="I541" sqref="I541"/>
    </sheetView>
  </sheetViews>
  <sheetFormatPr defaultRowHeight="14.45"/>
  <cols>
    <col min="1" max="1" width="23" bestFit="1" customWidth="1"/>
    <col min="2" max="2" width="5.140625" bestFit="1" customWidth="1"/>
    <col min="3" max="3" width="10.28515625" bestFit="1" customWidth="1"/>
    <col min="4" max="4" width="13.28515625" bestFit="1" customWidth="1"/>
    <col min="5" max="5" width="3.85546875" bestFit="1" customWidth="1"/>
    <col min="6" max="6" width="12.7109375" bestFit="1" customWidth="1"/>
    <col min="7" max="7" width="16.5703125" bestFit="1" customWidth="1"/>
    <col min="8" max="8" width="17.7109375" bestFit="1" customWidth="1"/>
    <col min="9" max="9" width="15.5703125" bestFit="1" customWidth="1"/>
    <col min="10" max="10" width="14.85546875" bestFit="1" customWidth="1"/>
    <col min="11" max="11" width="14.85546875" style="1" bestFit="1" customWidth="1"/>
    <col min="12" max="12" width="4.7109375" bestFit="1" customWidth="1"/>
    <col min="13" max="14" width="21.28515625" style="1" customWidth="1"/>
    <col min="15" max="15" width="9.7109375" customWidth="1"/>
    <col min="17" max="17" width="16.28515625" customWidth="1"/>
    <col min="18" max="18" width="10.140625" customWidth="1"/>
    <col min="19" max="19" width="16.85546875" customWidth="1"/>
  </cols>
  <sheetData>
    <row r="1" spans="1:12">
      <c r="A1" t="s">
        <v>0</v>
      </c>
      <c r="B1" t="s">
        <v>1</v>
      </c>
      <c r="C1" t="s">
        <v>2</v>
      </c>
      <c r="D1" t="s">
        <v>3</v>
      </c>
      <c r="E1" t="s">
        <v>4</v>
      </c>
      <c r="F1" t="s">
        <v>5</v>
      </c>
      <c r="G1" t="s">
        <v>6</v>
      </c>
      <c r="H1" t="s">
        <v>7</v>
      </c>
      <c r="I1" t="s">
        <v>8</v>
      </c>
      <c r="J1" t="s">
        <v>9</v>
      </c>
      <c r="K1" s="1" t="s">
        <v>10</v>
      </c>
      <c r="L1" t="s">
        <v>11</v>
      </c>
    </row>
    <row r="2" spans="1:12">
      <c r="A2" t="s">
        <v>12</v>
      </c>
      <c r="B2" t="s">
        <v>13</v>
      </c>
      <c r="C2" t="s">
        <v>14</v>
      </c>
      <c r="D2" t="s">
        <v>15</v>
      </c>
      <c r="E2">
        <v>26</v>
      </c>
      <c r="F2">
        <v>64</v>
      </c>
      <c r="G2">
        <v>35.799999999999997</v>
      </c>
      <c r="H2">
        <v>7.7</v>
      </c>
      <c r="I2">
        <v>8.3000000000000007</v>
      </c>
      <c r="J2">
        <v>33.5</v>
      </c>
      <c r="K2" s="1">
        <v>45999660</v>
      </c>
      <c r="L2" t="s">
        <v>16</v>
      </c>
    </row>
    <row r="3" spans="1:12">
      <c r="A3" t="s">
        <v>17</v>
      </c>
      <c r="B3" t="s">
        <v>18</v>
      </c>
      <c r="C3" t="s">
        <v>14</v>
      </c>
      <c r="D3" t="s">
        <v>15</v>
      </c>
      <c r="E3">
        <v>27</v>
      </c>
      <c r="F3">
        <v>68</v>
      </c>
      <c r="G3">
        <v>33.200000000000003</v>
      </c>
      <c r="H3">
        <v>4.3</v>
      </c>
      <c r="I3">
        <v>6.6</v>
      </c>
      <c r="J3">
        <v>31.1</v>
      </c>
      <c r="K3" s="1">
        <v>38333050</v>
      </c>
      <c r="L3" t="s">
        <v>16</v>
      </c>
    </row>
    <row r="4" spans="1:12">
      <c r="A4" t="s">
        <v>19</v>
      </c>
      <c r="B4" t="s">
        <v>20</v>
      </c>
      <c r="C4" t="s">
        <v>14</v>
      </c>
      <c r="D4" t="s">
        <v>15</v>
      </c>
      <c r="E4">
        <v>24</v>
      </c>
      <c r="F4">
        <v>61</v>
      </c>
      <c r="G4">
        <v>35</v>
      </c>
      <c r="H4">
        <v>5</v>
      </c>
      <c r="I4">
        <v>3.7</v>
      </c>
      <c r="J4">
        <v>28.8</v>
      </c>
      <c r="K4" s="1">
        <v>45550512</v>
      </c>
      <c r="L4" t="s">
        <v>21</v>
      </c>
    </row>
    <row r="5" spans="1:12">
      <c r="A5" t="s">
        <v>22</v>
      </c>
      <c r="B5" t="s">
        <v>23</v>
      </c>
      <c r="C5" t="s">
        <v>24</v>
      </c>
      <c r="D5" t="s">
        <v>25</v>
      </c>
      <c r="E5">
        <v>29</v>
      </c>
      <c r="F5">
        <v>71</v>
      </c>
      <c r="G5">
        <v>34.4</v>
      </c>
      <c r="H5">
        <v>6.9</v>
      </c>
      <c r="I5">
        <v>5.0999999999999996</v>
      </c>
      <c r="J5">
        <v>28.7</v>
      </c>
      <c r="K5" s="1">
        <v>53142264</v>
      </c>
      <c r="L5" t="s">
        <v>21</v>
      </c>
    </row>
    <row r="6" spans="1:12">
      <c r="A6" t="s">
        <v>26</v>
      </c>
      <c r="B6" t="s">
        <v>27</v>
      </c>
      <c r="C6" t="s">
        <v>24</v>
      </c>
      <c r="D6" t="s">
        <v>15</v>
      </c>
      <c r="E6">
        <v>25</v>
      </c>
      <c r="F6">
        <v>70</v>
      </c>
      <c r="G6">
        <v>38</v>
      </c>
      <c r="H6">
        <v>4.0999999999999996</v>
      </c>
      <c r="I6">
        <v>6.6</v>
      </c>
      <c r="J6">
        <v>28.3</v>
      </c>
      <c r="K6" s="1">
        <v>37958760</v>
      </c>
      <c r="L6" t="s">
        <v>21</v>
      </c>
    </row>
    <row r="7" spans="1:12">
      <c r="A7" t="s">
        <v>28</v>
      </c>
      <c r="B7" t="s">
        <v>29</v>
      </c>
      <c r="C7" t="s">
        <v>14</v>
      </c>
      <c r="D7" t="s">
        <v>25</v>
      </c>
      <c r="E7">
        <v>34</v>
      </c>
      <c r="F7">
        <v>65</v>
      </c>
      <c r="G7">
        <v>32.1</v>
      </c>
      <c r="H7">
        <v>6.4</v>
      </c>
      <c r="I7">
        <v>3.6</v>
      </c>
      <c r="J7">
        <v>27.9</v>
      </c>
      <c r="K7" s="1">
        <v>50000000</v>
      </c>
      <c r="L7" t="s">
        <v>21</v>
      </c>
    </row>
    <row r="8" spans="1:12">
      <c r="A8" t="s">
        <v>30</v>
      </c>
      <c r="B8" t="s">
        <v>31</v>
      </c>
      <c r="C8" t="s">
        <v>24</v>
      </c>
      <c r="D8" t="s">
        <v>15</v>
      </c>
      <c r="E8">
        <v>29</v>
      </c>
      <c r="F8">
        <v>70</v>
      </c>
      <c r="G8">
        <v>33.5</v>
      </c>
      <c r="H8">
        <v>4.5</v>
      </c>
      <c r="I8">
        <v>5.7</v>
      </c>
      <c r="J8">
        <v>27.9</v>
      </c>
      <c r="K8" s="1">
        <v>46394100</v>
      </c>
      <c r="L8" t="s">
        <v>21</v>
      </c>
    </row>
    <row r="9" spans="1:12">
      <c r="A9" t="s">
        <v>32</v>
      </c>
      <c r="B9" t="s">
        <v>33</v>
      </c>
      <c r="C9" t="s">
        <v>14</v>
      </c>
      <c r="D9" t="s">
        <v>34</v>
      </c>
      <c r="E9">
        <v>30</v>
      </c>
      <c r="F9">
        <v>65</v>
      </c>
      <c r="G9">
        <v>34.799999999999997</v>
      </c>
      <c r="H9">
        <v>12.9</v>
      </c>
      <c r="I9">
        <v>10.7</v>
      </c>
      <c r="J9">
        <v>27.7</v>
      </c>
      <c r="K9" s="1">
        <v>55224526</v>
      </c>
      <c r="L9" t="s">
        <v>16</v>
      </c>
    </row>
    <row r="10" spans="1:12">
      <c r="A10" t="s">
        <v>35</v>
      </c>
      <c r="B10" t="s">
        <v>36</v>
      </c>
      <c r="C10" t="s">
        <v>24</v>
      </c>
      <c r="D10" t="s">
        <v>25</v>
      </c>
      <c r="E10">
        <v>31</v>
      </c>
      <c r="F10">
        <v>36</v>
      </c>
      <c r="G10">
        <v>28.9</v>
      </c>
      <c r="H10">
        <v>9.8000000000000007</v>
      </c>
      <c r="I10">
        <v>5.4</v>
      </c>
      <c r="J10">
        <v>27.6</v>
      </c>
      <c r="K10" s="1">
        <v>54126450</v>
      </c>
      <c r="L10" t="s">
        <v>16</v>
      </c>
    </row>
    <row r="11" spans="1:12">
      <c r="A11" t="s">
        <v>37</v>
      </c>
      <c r="B11" t="s">
        <v>27</v>
      </c>
      <c r="C11" t="s">
        <v>24</v>
      </c>
      <c r="D11" t="s">
        <v>34</v>
      </c>
      <c r="E11">
        <v>31</v>
      </c>
      <c r="F11">
        <v>38</v>
      </c>
      <c r="G11">
        <v>31.6</v>
      </c>
      <c r="H11">
        <v>7.7</v>
      </c>
      <c r="I11">
        <v>3.9</v>
      </c>
      <c r="J11">
        <v>26.9</v>
      </c>
      <c r="K11" s="1">
        <v>55224526</v>
      </c>
      <c r="L11" t="s">
        <v>16</v>
      </c>
    </row>
    <row r="12" spans="1:12">
      <c r="A12" t="s">
        <v>38</v>
      </c>
      <c r="B12" t="s">
        <v>39</v>
      </c>
      <c r="C12" t="s">
        <v>14</v>
      </c>
      <c r="D12" t="s">
        <v>25</v>
      </c>
      <c r="E12">
        <v>28</v>
      </c>
      <c r="F12">
        <v>42</v>
      </c>
      <c r="G12">
        <v>34.4</v>
      </c>
      <c r="H12">
        <v>6.9</v>
      </c>
      <c r="I12">
        <v>2.1</v>
      </c>
      <c r="J12">
        <v>26.7</v>
      </c>
      <c r="K12" s="1">
        <v>46394100</v>
      </c>
      <c r="L12" t="s">
        <v>16</v>
      </c>
    </row>
    <row r="13" spans="1:12">
      <c r="A13" t="s">
        <v>40</v>
      </c>
      <c r="B13" t="s">
        <v>41</v>
      </c>
      <c r="C13" t="s">
        <v>14</v>
      </c>
      <c r="D13" t="s">
        <v>15</v>
      </c>
      <c r="E13">
        <v>37</v>
      </c>
      <c r="F13">
        <v>43</v>
      </c>
      <c r="G13">
        <v>30.9</v>
      </c>
      <c r="H13">
        <v>3.6</v>
      </c>
      <c r="I13">
        <v>4.7</v>
      </c>
      <c r="J13">
        <v>26.6</v>
      </c>
      <c r="K13" s="1">
        <v>59606817</v>
      </c>
      <c r="L13" t="s">
        <v>21</v>
      </c>
    </row>
    <row r="14" spans="1:12">
      <c r="A14" t="s">
        <v>42</v>
      </c>
      <c r="B14" t="s">
        <v>43</v>
      </c>
      <c r="C14" t="s">
        <v>14</v>
      </c>
      <c r="D14" t="s">
        <v>15</v>
      </c>
      <c r="E14">
        <v>29</v>
      </c>
      <c r="F14">
        <v>64</v>
      </c>
      <c r="G14">
        <v>33.5</v>
      </c>
      <c r="H14">
        <v>3.9</v>
      </c>
      <c r="I14">
        <v>6</v>
      </c>
      <c r="J14">
        <v>26.1</v>
      </c>
      <c r="K14" s="1">
        <v>53142264</v>
      </c>
      <c r="L14" t="s">
        <v>21</v>
      </c>
    </row>
    <row r="15" spans="1:12">
      <c r="A15" t="s">
        <v>44</v>
      </c>
      <c r="B15" t="s">
        <v>45</v>
      </c>
      <c r="C15" t="s">
        <v>24</v>
      </c>
      <c r="D15" t="s">
        <v>15</v>
      </c>
      <c r="E15">
        <v>29</v>
      </c>
      <c r="F15">
        <v>74</v>
      </c>
      <c r="G15">
        <v>35</v>
      </c>
      <c r="H15">
        <v>3.3</v>
      </c>
      <c r="I15">
        <v>6.8</v>
      </c>
      <c r="J15">
        <v>26</v>
      </c>
      <c r="K15" s="1">
        <v>34944001</v>
      </c>
      <c r="L15" t="s">
        <v>21</v>
      </c>
    </row>
    <row r="16" spans="1:12">
      <c r="A16" t="s">
        <v>46</v>
      </c>
      <c r="B16" t="s">
        <v>47</v>
      </c>
      <c r="C16" t="s">
        <v>14</v>
      </c>
      <c r="D16" t="s">
        <v>25</v>
      </c>
      <c r="E16">
        <v>37</v>
      </c>
      <c r="F16">
        <v>78</v>
      </c>
      <c r="G16">
        <v>36.4</v>
      </c>
      <c r="H16">
        <v>5.5</v>
      </c>
      <c r="I16">
        <v>4.8</v>
      </c>
      <c r="J16">
        <v>26</v>
      </c>
      <c r="K16" s="1">
        <v>53282608</v>
      </c>
      <c r="L16" t="s">
        <v>21</v>
      </c>
    </row>
    <row r="17" spans="1:12">
      <c r="A17" t="s">
        <v>48</v>
      </c>
      <c r="B17" t="s">
        <v>33</v>
      </c>
      <c r="C17" t="s">
        <v>14</v>
      </c>
      <c r="D17" t="s">
        <v>15</v>
      </c>
      <c r="E17">
        <v>28</v>
      </c>
      <c r="F17">
        <v>75</v>
      </c>
      <c r="G17">
        <v>35.4</v>
      </c>
      <c r="H17">
        <v>4.4000000000000004</v>
      </c>
      <c r="I17">
        <v>7.1</v>
      </c>
      <c r="J17">
        <v>25.4</v>
      </c>
      <c r="K17" s="1">
        <v>46394100</v>
      </c>
      <c r="L17" t="s">
        <v>16</v>
      </c>
    </row>
    <row r="18" spans="1:12">
      <c r="A18" t="s">
        <v>49</v>
      </c>
      <c r="B18" t="s">
        <v>50</v>
      </c>
      <c r="C18" t="s">
        <v>14</v>
      </c>
      <c r="D18" t="s">
        <v>34</v>
      </c>
      <c r="E18">
        <v>22</v>
      </c>
      <c r="F18">
        <v>64</v>
      </c>
      <c r="G18">
        <v>29.2</v>
      </c>
      <c r="H18">
        <v>11.5</v>
      </c>
      <c r="I18">
        <v>3.1</v>
      </c>
      <c r="J18">
        <v>25</v>
      </c>
      <c r="K18" s="1">
        <v>13376880</v>
      </c>
      <c r="L18" t="s">
        <v>16</v>
      </c>
    </row>
    <row r="19" spans="1:12">
      <c r="A19" t="s">
        <v>51</v>
      </c>
      <c r="B19" t="s">
        <v>52</v>
      </c>
      <c r="C19" t="s">
        <v>14</v>
      </c>
      <c r="D19" t="s">
        <v>25</v>
      </c>
      <c r="E19">
        <v>25</v>
      </c>
      <c r="F19">
        <v>66</v>
      </c>
      <c r="G19">
        <v>33.299999999999997</v>
      </c>
      <c r="H19">
        <v>6.9</v>
      </c>
      <c r="I19">
        <v>6.7</v>
      </c>
      <c r="J19">
        <v>24.2</v>
      </c>
      <c r="K19" s="1">
        <v>14375000</v>
      </c>
      <c r="L19" t="s">
        <v>16</v>
      </c>
    </row>
    <row r="20" spans="1:12">
      <c r="A20" t="s">
        <v>53</v>
      </c>
      <c r="B20" t="s">
        <v>54</v>
      </c>
      <c r="C20" t="s">
        <v>24</v>
      </c>
      <c r="D20" t="s">
        <v>25</v>
      </c>
      <c r="E20">
        <v>27</v>
      </c>
      <c r="F20">
        <v>52</v>
      </c>
      <c r="G20">
        <v>32.5</v>
      </c>
      <c r="H20">
        <v>7.1</v>
      </c>
      <c r="I20">
        <v>3</v>
      </c>
      <c r="J20">
        <v>24.2</v>
      </c>
      <c r="K20" s="1">
        <v>38333050</v>
      </c>
      <c r="L20" t="s">
        <v>21</v>
      </c>
    </row>
    <row r="21" spans="1:12">
      <c r="A21" t="s">
        <v>55</v>
      </c>
      <c r="B21" t="s">
        <v>56</v>
      </c>
      <c r="C21" t="s">
        <v>24</v>
      </c>
      <c r="D21" t="s">
        <v>25</v>
      </c>
      <c r="E21">
        <v>31</v>
      </c>
      <c r="F21">
        <v>62</v>
      </c>
      <c r="G21">
        <v>33.200000000000003</v>
      </c>
      <c r="H21">
        <v>6.6</v>
      </c>
      <c r="I21">
        <v>3.8</v>
      </c>
      <c r="J21">
        <v>24</v>
      </c>
      <c r="K21" s="1">
        <v>45550512</v>
      </c>
      <c r="L21" t="s">
        <v>16</v>
      </c>
    </row>
    <row r="22" spans="1:12">
      <c r="A22" t="s">
        <v>57</v>
      </c>
      <c r="B22" t="s">
        <v>58</v>
      </c>
      <c r="C22" t="s">
        <v>24</v>
      </c>
      <c r="D22" t="s">
        <v>15</v>
      </c>
      <c r="E22">
        <v>24</v>
      </c>
      <c r="F22">
        <v>64</v>
      </c>
      <c r="G22">
        <v>33.9</v>
      </c>
      <c r="H22">
        <v>5.5</v>
      </c>
      <c r="I22">
        <v>9.9</v>
      </c>
      <c r="J22">
        <v>23.9</v>
      </c>
      <c r="K22" s="1">
        <v>46394100</v>
      </c>
      <c r="L22" t="s">
        <v>21</v>
      </c>
    </row>
    <row r="23" spans="1:12">
      <c r="A23" t="s">
        <v>59</v>
      </c>
      <c r="B23" t="s">
        <v>31</v>
      </c>
      <c r="C23" t="s">
        <v>24</v>
      </c>
      <c r="D23" t="s">
        <v>15</v>
      </c>
      <c r="E23">
        <v>36</v>
      </c>
      <c r="F23">
        <v>70</v>
      </c>
      <c r="G23">
        <v>34.799999999999997</v>
      </c>
      <c r="H23">
        <v>4.8</v>
      </c>
      <c r="I23">
        <v>8</v>
      </c>
      <c r="J23">
        <v>23.6</v>
      </c>
      <c r="K23" s="1">
        <v>39182693</v>
      </c>
      <c r="L23" t="s">
        <v>21</v>
      </c>
    </row>
    <row r="24" spans="1:12">
      <c r="A24" t="s">
        <v>60</v>
      </c>
      <c r="B24" t="s">
        <v>39</v>
      </c>
      <c r="C24" t="s">
        <v>14</v>
      </c>
      <c r="D24" t="s">
        <v>15</v>
      </c>
      <c r="E24">
        <v>22</v>
      </c>
      <c r="F24">
        <v>54</v>
      </c>
      <c r="G24">
        <v>33.1</v>
      </c>
      <c r="H24">
        <v>3.7</v>
      </c>
      <c r="I24">
        <v>6.1</v>
      </c>
      <c r="J24">
        <v>23.6</v>
      </c>
      <c r="K24" s="1">
        <v>4278960</v>
      </c>
      <c r="L24" t="s">
        <v>21</v>
      </c>
    </row>
    <row r="25" spans="1:12">
      <c r="A25" t="s">
        <v>61</v>
      </c>
      <c r="B25" t="s">
        <v>13</v>
      </c>
      <c r="C25" t="s">
        <v>14</v>
      </c>
      <c r="D25" t="s">
        <v>15</v>
      </c>
      <c r="E25">
        <v>27</v>
      </c>
      <c r="F25">
        <v>51</v>
      </c>
      <c r="G25">
        <v>34.5</v>
      </c>
      <c r="H25">
        <v>4.7</v>
      </c>
      <c r="I25">
        <v>5.5</v>
      </c>
      <c r="J25">
        <v>23.3</v>
      </c>
      <c r="K25" s="1">
        <v>13937574</v>
      </c>
      <c r="L25" t="s">
        <v>21</v>
      </c>
    </row>
    <row r="26" spans="1:12">
      <c r="A26" t="s">
        <v>62</v>
      </c>
      <c r="B26" t="s">
        <v>63</v>
      </c>
      <c r="C26" t="s">
        <v>24</v>
      </c>
      <c r="D26" t="s">
        <v>25</v>
      </c>
      <c r="E26">
        <v>24</v>
      </c>
      <c r="F26">
        <v>72</v>
      </c>
      <c r="G26">
        <v>35.200000000000003</v>
      </c>
      <c r="H26">
        <v>10.3</v>
      </c>
      <c r="I26">
        <v>7.9</v>
      </c>
      <c r="J26">
        <v>22.5</v>
      </c>
      <c r="K26" s="1">
        <v>30000000</v>
      </c>
      <c r="L26" t="s">
        <v>21</v>
      </c>
    </row>
    <row r="27" spans="1:12">
      <c r="A27" t="s">
        <v>64</v>
      </c>
      <c r="B27" t="s">
        <v>65</v>
      </c>
      <c r="C27" t="s">
        <v>24</v>
      </c>
      <c r="D27" t="s">
        <v>25</v>
      </c>
      <c r="E27">
        <v>23</v>
      </c>
      <c r="F27">
        <v>72</v>
      </c>
      <c r="G27">
        <v>34.799999999999997</v>
      </c>
      <c r="H27">
        <v>8.4</v>
      </c>
      <c r="I27">
        <v>5.2</v>
      </c>
      <c r="J27">
        <v>22.2</v>
      </c>
      <c r="K27" s="1">
        <v>15334769</v>
      </c>
      <c r="L27" t="s">
        <v>21</v>
      </c>
    </row>
    <row r="28" spans="1:12">
      <c r="A28" t="s">
        <v>66</v>
      </c>
      <c r="B28" t="s">
        <v>23</v>
      </c>
      <c r="C28" t="s">
        <v>24</v>
      </c>
      <c r="D28" t="s">
        <v>25</v>
      </c>
      <c r="E28">
        <v>27</v>
      </c>
      <c r="F28">
        <v>16</v>
      </c>
      <c r="G28">
        <v>32.6</v>
      </c>
      <c r="H28">
        <v>10</v>
      </c>
      <c r="I28">
        <v>5.3</v>
      </c>
      <c r="J28">
        <v>21.8</v>
      </c>
      <c r="K28" s="1">
        <v>54126450</v>
      </c>
      <c r="L28" t="s">
        <v>21</v>
      </c>
    </row>
    <row r="29" spans="1:12">
      <c r="A29" t="s">
        <v>67</v>
      </c>
      <c r="B29" t="s">
        <v>68</v>
      </c>
      <c r="C29" t="s">
        <v>24</v>
      </c>
      <c r="D29" t="s">
        <v>15</v>
      </c>
      <c r="E29">
        <v>32</v>
      </c>
      <c r="F29">
        <v>58</v>
      </c>
      <c r="G29">
        <v>29.6</v>
      </c>
      <c r="H29">
        <v>3.5</v>
      </c>
      <c r="I29">
        <v>2.5</v>
      </c>
      <c r="J29">
        <v>21.7</v>
      </c>
      <c r="K29" s="1">
        <v>20482758</v>
      </c>
      <c r="L29" t="s">
        <v>21</v>
      </c>
    </row>
    <row r="30" spans="1:12">
      <c r="A30" t="s">
        <v>69</v>
      </c>
      <c r="B30" t="s">
        <v>70</v>
      </c>
      <c r="C30" t="s">
        <v>24</v>
      </c>
      <c r="D30" t="s">
        <v>25</v>
      </c>
      <c r="E30">
        <v>28</v>
      </c>
      <c r="F30">
        <v>77</v>
      </c>
      <c r="G30">
        <v>33.799999999999997</v>
      </c>
      <c r="H30">
        <v>5.6</v>
      </c>
      <c r="I30">
        <v>3.7</v>
      </c>
      <c r="J30">
        <v>21.5</v>
      </c>
      <c r="K30" s="1">
        <v>38095238</v>
      </c>
      <c r="L30" t="s">
        <v>21</v>
      </c>
    </row>
    <row r="31" spans="1:12">
      <c r="A31" t="s">
        <v>71</v>
      </c>
      <c r="B31" t="s">
        <v>72</v>
      </c>
      <c r="C31" t="s">
        <v>14</v>
      </c>
      <c r="D31" t="s">
        <v>25</v>
      </c>
      <c r="E31">
        <v>25</v>
      </c>
      <c r="F31">
        <v>66</v>
      </c>
      <c r="G31">
        <v>35.5</v>
      </c>
      <c r="H31">
        <v>5.7</v>
      </c>
      <c r="I31">
        <v>3.8</v>
      </c>
      <c r="J31">
        <v>21.5</v>
      </c>
      <c r="K31" s="1">
        <v>25000000</v>
      </c>
      <c r="L31" t="s">
        <v>21</v>
      </c>
    </row>
    <row r="32" spans="1:12">
      <c r="A32" t="s">
        <v>73</v>
      </c>
      <c r="B32" t="s">
        <v>20</v>
      </c>
      <c r="C32" t="s">
        <v>14</v>
      </c>
      <c r="D32" t="s">
        <v>25</v>
      </c>
      <c r="E32">
        <v>31</v>
      </c>
      <c r="F32">
        <v>79</v>
      </c>
      <c r="G32">
        <v>33</v>
      </c>
      <c r="H32">
        <v>6.7</v>
      </c>
      <c r="I32">
        <v>5</v>
      </c>
      <c r="J32">
        <v>21.1</v>
      </c>
      <c r="K32" s="1">
        <v>30864198</v>
      </c>
      <c r="L32" t="s">
        <v>21</v>
      </c>
    </row>
    <row r="33" spans="1:12">
      <c r="A33" t="s">
        <v>74</v>
      </c>
      <c r="B33" t="s">
        <v>75</v>
      </c>
      <c r="C33" t="s">
        <v>14</v>
      </c>
      <c r="D33" t="s">
        <v>25</v>
      </c>
      <c r="E33">
        <v>19</v>
      </c>
      <c r="F33">
        <v>70</v>
      </c>
      <c r="G33">
        <v>33.5</v>
      </c>
      <c r="H33">
        <v>6.7</v>
      </c>
      <c r="I33">
        <v>4.5</v>
      </c>
      <c r="J33">
        <v>21</v>
      </c>
      <c r="K33" s="1">
        <v>13825920</v>
      </c>
      <c r="L33" t="s">
        <v>21</v>
      </c>
    </row>
    <row r="34" spans="1:12">
      <c r="A34" t="s">
        <v>76</v>
      </c>
      <c r="B34" t="s">
        <v>72</v>
      </c>
      <c r="C34" t="s">
        <v>14</v>
      </c>
      <c r="D34" t="s">
        <v>25</v>
      </c>
      <c r="E34">
        <v>25</v>
      </c>
      <c r="F34">
        <v>62</v>
      </c>
      <c r="G34">
        <v>29.7</v>
      </c>
      <c r="H34">
        <v>5.7</v>
      </c>
      <c r="I34">
        <v>3.2</v>
      </c>
      <c r="J34">
        <v>21</v>
      </c>
      <c r="K34" s="1">
        <v>39446090</v>
      </c>
      <c r="L34" t="s">
        <v>21</v>
      </c>
    </row>
    <row r="35" spans="1:12">
      <c r="A35" t="s">
        <v>77</v>
      </c>
      <c r="B35" t="s">
        <v>13</v>
      </c>
      <c r="C35" t="s">
        <v>14</v>
      </c>
      <c r="D35" t="s">
        <v>25</v>
      </c>
      <c r="E35">
        <v>41</v>
      </c>
      <c r="F35">
        <v>60</v>
      </c>
      <c r="G35">
        <v>33.200000000000003</v>
      </c>
      <c r="H35">
        <v>6.1</v>
      </c>
      <c r="I35">
        <v>7.2</v>
      </c>
      <c r="J35">
        <v>20.9</v>
      </c>
      <c r="K35" s="1">
        <v>52627153</v>
      </c>
      <c r="L35" t="s">
        <v>21</v>
      </c>
    </row>
    <row r="36" spans="1:12">
      <c r="A36" t="s">
        <v>78</v>
      </c>
      <c r="B36" t="s">
        <v>63</v>
      </c>
      <c r="C36" t="s">
        <v>24</v>
      </c>
      <c r="D36" t="s">
        <v>15</v>
      </c>
      <c r="E36">
        <v>27</v>
      </c>
      <c r="F36">
        <v>78</v>
      </c>
      <c r="G36">
        <v>33.4</v>
      </c>
      <c r="H36">
        <v>3.4</v>
      </c>
      <c r="I36">
        <v>3.7</v>
      </c>
      <c r="J36">
        <v>20.8</v>
      </c>
      <c r="K36" s="1">
        <v>15161800</v>
      </c>
      <c r="L36" t="s">
        <v>16</v>
      </c>
    </row>
    <row r="37" spans="1:12">
      <c r="A37" t="s">
        <v>79</v>
      </c>
      <c r="B37" t="s">
        <v>52</v>
      </c>
      <c r="C37" t="s">
        <v>14</v>
      </c>
      <c r="D37" t="s">
        <v>15</v>
      </c>
      <c r="E37">
        <v>22</v>
      </c>
      <c r="F37">
        <v>50</v>
      </c>
      <c r="G37">
        <v>29.4</v>
      </c>
      <c r="H37">
        <v>4.3</v>
      </c>
      <c r="I37">
        <v>2.6</v>
      </c>
      <c r="J37">
        <v>20.8</v>
      </c>
      <c r="K37" s="1">
        <v>8399983</v>
      </c>
      <c r="L37" t="s">
        <v>16</v>
      </c>
    </row>
    <row r="38" spans="1:12">
      <c r="A38" t="s">
        <v>80</v>
      </c>
      <c r="B38" t="s">
        <v>65</v>
      </c>
      <c r="C38" t="s">
        <v>24</v>
      </c>
      <c r="D38" t="s">
        <v>25</v>
      </c>
      <c r="E38">
        <v>24</v>
      </c>
      <c r="F38">
        <v>34</v>
      </c>
      <c r="G38">
        <v>30</v>
      </c>
      <c r="H38">
        <v>5.2</v>
      </c>
      <c r="I38">
        <v>3.3</v>
      </c>
      <c r="J38">
        <v>20.6</v>
      </c>
      <c r="K38" s="1">
        <v>38661750</v>
      </c>
      <c r="L38" t="s">
        <v>16</v>
      </c>
    </row>
    <row r="39" spans="1:12">
      <c r="A39" t="s">
        <v>81</v>
      </c>
      <c r="B39" t="s">
        <v>68</v>
      </c>
      <c r="C39" t="s">
        <v>24</v>
      </c>
      <c r="D39" t="s">
        <v>15</v>
      </c>
      <c r="E39">
        <v>26</v>
      </c>
      <c r="F39">
        <v>33</v>
      </c>
      <c r="G39">
        <v>31.3</v>
      </c>
      <c r="H39">
        <v>4.8</v>
      </c>
      <c r="I39">
        <v>4.0999999999999996</v>
      </c>
      <c r="J39">
        <v>20.5</v>
      </c>
      <c r="K39" s="1">
        <v>31000000</v>
      </c>
      <c r="L39" t="s">
        <v>21</v>
      </c>
    </row>
    <row r="40" spans="1:12">
      <c r="A40" t="s">
        <v>82</v>
      </c>
      <c r="B40" t="s">
        <v>83</v>
      </c>
      <c r="C40" t="s">
        <v>24</v>
      </c>
      <c r="D40" t="s">
        <v>25</v>
      </c>
      <c r="E40">
        <v>32</v>
      </c>
      <c r="F40">
        <v>20</v>
      </c>
      <c r="G40">
        <v>31.3</v>
      </c>
      <c r="H40">
        <v>11.1</v>
      </c>
      <c r="I40">
        <v>2.8</v>
      </c>
      <c r="J40">
        <v>20.399999999999999</v>
      </c>
      <c r="K40" s="1">
        <v>54126450</v>
      </c>
      <c r="L40" t="s">
        <v>21</v>
      </c>
    </row>
    <row r="41" spans="1:12">
      <c r="A41" t="s">
        <v>84</v>
      </c>
      <c r="B41" t="s">
        <v>47</v>
      </c>
      <c r="C41" t="s">
        <v>14</v>
      </c>
      <c r="D41" t="s">
        <v>34</v>
      </c>
      <c r="E41">
        <v>23</v>
      </c>
      <c r="F41">
        <v>72</v>
      </c>
      <c r="G41">
        <v>33.299999999999997</v>
      </c>
      <c r="H41">
        <v>8.9</v>
      </c>
      <c r="I41">
        <v>6.2</v>
      </c>
      <c r="J41">
        <v>20.399999999999999</v>
      </c>
      <c r="K41" s="1">
        <v>33944954</v>
      </c>
      <c r="L41" t="s">
        <v>16</v>
      </c>
    </row>
    <row r="42" spans="1:12">
      <c r="A42" t="s">
        <v>85</v>
      </c>
      <c r="B42" t="s">
        <v>43</v>
      </c>
      <c r="C42" t="s">
        <v>14</v>
      </c>
      <c r="D42" t="s">
        <v>25</v>
      </c>
      <c r="E42">
        <v>30</v>
      </c>
      <c r="F42">
        <v>56</v>
      </c>
      <c r="G42">
        <v>30.4</v>
      </c>
      <c r="H42">
        <v>3.6</v>
      </c>
      <c r="I42">
        <v>1.8</v>
      </c>
      <c r="J42">
        <v>20.2</v>
      </c>
      <c r="K42" s="1">
        <v>21124110</v>
      </c>
      <c r="L42" t="s">
        <v>16</v>
      </c>
    </row>
    <row r="43" spans="1:12">
      <c r="A43" t="s">
        <v>86</v>
      </c>
      <c r="B43" t="s">
        <v>87</v>
      </c>
      <c r="C43" t="s">
        <v>24</v>
      </c>
      <c r="D43" t="s">
        <v>25</v>
      </c>
      <c r="E43">
        <v>23</v>
      </c>
      <c r="F43">
        <v>65</v>
      </c>
      <c r="G43">
        <v>30.3</v>
      </c>
      <c r="H43">
        <v>4.9000000000000004</v>
      </c>
      <c r="I43">
        <v>3.3</v>
      </c>
      <c r="J43">
        <v>20.2</v>
      </c>
      <c r="K43" s="1">
        <v>11968800</v>
      </c>
      <c r="L43" t="s">
        <v>21</v>
      </c>
    </row>
    <row r="44" spans="1:12">
      <c r="A44" t="s">
        <v>88</v>
      </c>
      <c r="B44" t="s">
        <v>68</v>
      </c>
      <c r="C44" t="s">
        <v>24</v>
      </c>
      <c r="D44" t="s">
        <v>34</v>
      </c>
      <c r="E44">
        <v>28</v>
      </c>
      <c r="F44">
        <v>73</v>
      </c>
      <c r="G44">
        <v>32.4</v>
      </c>
      <c r="H44">
        <v>10</v>
      </c>
      <c r="I44">
        <v>3.2</v>
      </c>
      <c r="J44">
        <v>20.100000000000001</v>
      </c>
      <c r="K44" s="1">
        <v>37096620</v>
      </c>
      <c r="L44" t="s">
        <v>21</v>
      </c>
    </row>
    <row r="45" spans="1:12">
      <c r="A45" t="s">
        <v>89</v>
      </c>
      <c r="B45" t="s">
        <v>87</v>
      </c>
      <c r="C45" t="s">
        <v>24</v>
      </c>
      <c r="D45" t="s">
        <v>15</v>
      </c>
      <c r="E45">
        <v>24</v>
      </c>
      <c r="F45">
        <v>72</v>
      </c>
      <c r="G45">
        <v>28</v>
      </c>
      <c r="H45">
        <v>4.8</v>
      </c>
      <c r="I45">
        <v>7.1</v>
      </c>
      <c r="J45">
        <v>20.100000000000001</v>
      </c>
      <c r="K45" s="1">
        <v>37958760</v>
      </c>
      <c r="L45" t="s">
        <v>21</v>
      </c>
    </row>
    <row r="46" spans="1:12">
      <c r="A46" t="s">
        <v>90</v>
      </c>
      <c r="B46" t="s">
        <v>65</v>
      </c>
      <c r="C46" t="s">
        <v>24</v>
      </c>
      <c r="D46" t="s">
        <v>15</v>
      </c>
      <c r="E46">
        <v>27</v>
      </c>
      <c r="F46">
        <v>82</v>
      </c>
      <c r="G46">
        <v>33.6</v>
      </c>
      <c r="H46">
        <v>4.0999999999999996</v>
      </c>
      <c r="I46">
        <v>4.0999999999999996</v>
      </c>
      <c r="J46">
        <v>20.100000000000001</v>
      </c>
      <c r="K46" s="1">
        <v>36725670</v>
      </c>
      <c r="L46" t="s">
        <v>21</v>
      </c>
    </row>
    <row r="47" spans="1:12">
      <c r="A47" t="s">
        <v>91</v>
      </c>
      <c r="B47" t="s">
        <v>45</v>
      </c>
      <c r="C47" t="s">
        <v>24</v>
      </c>
      <c r="D47" t="s">
        <v>34</v>
      </c>
      <c r="E47">
        <v>30</v>
      </c>
      <c r="F47">
        <v>75</v>
      </c>
      <c r="G47">
        <v>31</v>
      </c>
      <c r="H47">
        <v>11.9</v>
      </c>
      <c r="I47">
        <v>3</v>
      </c>
      <c r="J47">
        <v>20.100000000000001</v>
      </c>
      <c r="K47" s="1">
        <v>53142264</v>
      </c>
      <c r="L47" t="s">
        <v>21</v>
      </c>
    </row>
    <row r="48" spans="1:12">
      <c r="A48" t="s">
        <v>92</v>
      </c>
      <c r="B48" t="s">
        <v>41</v>
      </c>
      <c r="C48" t="s">
        <v>14</v>
      </c>
      <c r="D48" t="s">
        <v>25</v>
      </c>
      <c r="E48">
        <v>36</v>
      </c>
      <c r="F48">
        <v>38</v>
      </c>
      <c r="G48">
        <v>31.1</v>
      </c>
      <c r="H48">
        <v>5.6</v>
      </c>
      <c r="I48">
        <v>4.9000000000000004</v>
      </c>
      <c r="J48">
        <v>20</v>
      </c>
      <c r="K48" s="1">
        <v>54126450</v>
      </c>
      <c r="L48" t="s">
        <v>21</v>
      </c>
    </row>
    <row r="49" spans="1:12">
      <c r="A49" t="s">
        <v>93</v>
      </c>
      <c r="B49" t="s">
        <v>94</v>
      </c>
      <c r="C49" t="s">
        <v>14</v>
      </c>
      <c r="D49" t="s">
        <v>15</v>
      </c>
      <c r="E49">
        <v>28</v>
      </c>
      <c r="F49">
        <v>15</v>
      </c>
      <c r="G49">
        <v>22.6</v>
      </c>
      <c r="H49">
        <v>2.8</v>
      </c>
      <c r="I49">
        <v>5.7</v>
      </c>
      <c r="J49">
        <v>19.7</v>
      </c>
      <c r="K49" s="1">
        <v>8781000</v>
      </c>
      <c r="L49" t="s">
        <v>21</v>
      </c>
    </row>
    <row r="50" spans="1:12">
      <c r="A50" t="s">
        <v>95</v>
      </c>
      <c r="B50" t="s">
        <v>58</v>
      </c>
      <c r="C50" t="s">
        <v>24</v>
      </c>
      <c r="D50" t="s">
        <v>34</v>
      </c>
      <c r="E50">
        <v>22</v>
      </c>
      <c r="F50">
        <v>70</v>
      </c>
      <c r="G50">
        <v>28.2</v>
      </c>
      <c r="H50">
        <v>10.5</v>
      </c>
      <c r="I50">
        <v>2</v>
      </c>
      <c r="J50">
        <v>19.5</v>
      </c>
      <c r="K50" s="1">
        <v>6483144</v>
      </c>
      <c r="L50" t="s">
        <v>21</v>
      </c>
    </row>
    <row r="51" spans="1:12">
      <c r="A51" t="s">
        <v>96</v>
      </c>
      <c r="B51" t="s">
        <v>94</v>
      </c>
      <c r="C51" t="s">
        <v>14</v>
      </c>
      <c r="D51" t="s">
        <v>15</v>
      </c>
      <c r="E51">
        <v>26</v>
      </c>
      <c r="F51">
        <v>20</v>
      </c>
      <c r="G51">
        <v>28.5</v>
      </c>
      <c r="H51">
        <v>3.3</v>
      </c>
      <c r="I51">
        <v>8.1</v>
      </c>
      <c r="J51">
        <v>19.5</v>
      </c>
      <c r="K51" s="1">
        <v>39446090</v>
      </c>
      <c r="L51" t="s">
        <v>21</v>
      </c>
    </row>
    <row r="52" spans="1:12">
      <c r="A52" t="s">
        <v>97</v>
      </c>
      <c r="B52" t="s">
        <v>39</v>
      </c>
      <c r="C52" t="s">
        <v>14</v>
      </c>
      <c r="D52" t="s">
        <v>34</v>
      </c>
      <c r="E52">
        <v>26</v>
      </c>
      <c r="F52">
        <v>48</v>
      </c>
      <c r="G52">
        <v>30.3</v>
      </c>
      <c r="H52">
        <v>5.7</v>
      </c>
      <c r="I52">
        <v>2</v>
      </c>
      <c r="J52">
        <v>19.399999999999999</v>
      </c>
      <c r="K52" s="1">
        <v>35000000</v>
      </c>
      <c r="L52" t="s">
        <v>21</v>
      </c>
    </row>
    <row r="53" spans="1:12">
      <c r="A53" t="s">
        <v>98</v>
      </c>
      <c r="B53" t="s">
        <v>70</v>
      </c>
      <c r="C53" t="s">
        <v>24</v>
      </c>
      <c r="D53" t="s">
        <v>25</v>
      </c>
      <c r="E53">
        <v>25</v>
      </c>
      <c r="F53">
        <v>57</v>
      </c>
      <c r="G53">
        <v>30.3</v>
      </c>
      <c r="H53">
        <v>5.3</v>
      </c>
      <c r="I53">
        <v>3.3</v>
      </c>
      <c r="J53">
        <v>19.3</v>
      </c>
      <c r="K53" s="1">
        <v>27705357</v>
      </c>
      <c r="L53" t="s">
        <v>16</v>
      </c>
    </row>
    <row r="54" spans="1:12">
      <c r="A54" t="s">
        <v>99</v>
      </c>
      <c r="B54" t="s">
        <v>100</v>
      </c>
      <c r="C54" t="s">
        <v>14</v>
      </c>
      <c r="D54" t="s">
        <v>15</v>
      </c>
      <c r="E54">
        <v>30</v>
      </c>
      <c r="F54">
        <v>39</v>
      </c>
      <c r="G54">
        <v>31.4</v>
      </c>
      <c r="H54">
        <v>2.8</v>
      </c>
      <c r="I54">
        <v>2.2999999999999998</v>
      </c>
      <c r="J54">
        <v>19.2</v>
      </c>
      <c r="K54" s="1">
        <v>45999660</v>
      </c>
      <c r="L54" t="s">
        <v>21</v>
      </c>
    </row>
    <row r="55" spans="1:12">
      <c r="A55" t="s">
        <v>101</v>
      </c>
      <c r="B55" t="s">
        <v>29</v>
      </c>
      <c r="C55" t="s">
        <v>14</v>
      </c>
      <c r="D55" t="s">
        <v>15</v>
      </c>
      <c r="E55">
        <v>26</v>
      </c>
      <c r="F55">
        <v>45</v>
      </c>
      <c r="G55">
        <v>29.9</v>
      </c>
      <c r="H55">
        <v>2.4</v>
      </c>
      <c r="I55">
        <v>6.7</v>
      </c>
      <c r="J55">
        <v>18.8</v>
      </c>
      <c r="K55" s="1">
        <v>39446090</v>
      </c>
      <c r="L55" t="s">
        <v>21</v>
      </c>
    </row>
    <row r="56" spans="1:12">
      <c r="A56" t="s">
        <v>102</v>
      </c>
      <c r="B56" t="s">
        <v>63</v>
      </c>
      <c r="C56" t="s">
        <v>24</v>
      </c>
      <c r="D56" t="s">
        <v>15</v>
      </c>
      <c r="E56">
        <v>34</v>
      </c>
      <c r="F56">
        <v>76</v>
      </c>
      <c r="G56">
        <v>29.8</v>
      </c>
      <c r="H56">
        <v>3.3</v>
      </c>
      <c r="I56">
        <v>3.9</v>
      </c>
      <c r="J56">
        <v>18.7</v>
      </c>
      <c r="K56" s="1">
        <v>30666666</v>
      </c>
      <c r="L56" t="s">
        <v>21</v>
      </c>
    </row>
    <row r="57" spans="1:12">
      <c r="A57" t="s">
        <v>103</v>
      </c>
      <c r="B57" t="s">
        <v>50</v>
      </c>
      <c r="C57" t="s">
        <v>14</v>
      </c>
      <c r="D57" t="s">
        <v>15</v>
      </c>
      <c r="E57">
        <v>28</v>
      </c>
      <c r="F57">
        <v>72</v>
      </c>
      <c r="G57">
        <v>31</v>
      </c>
      <c r="H57">
        <v>3.8</v>
      </c>
      <c r="I57">
        <v>6.2</v>
      </c>
      <c r="J57">
        <v>18.600000000000001</v>
      </c>
      <c r="K57" s="1">
        <v>37096620</v>
      </c>
      <c r="L57" t="s">
        <v>21</v>
      </c>
    </row>
    <row r="58" spans="1:12">
      <c r="A58" t="s">
        <v>104</v>
      </c>
      <c r="B58" t="s">
        <v>52</v>
      </c>
      <c r="C58" t="s">
        <v>14</v>
      </c>
      <c r="D58" t="s">
        <v>25</v>
      </c>
      <c r="E58">
        <v>31</v>
      </c>
      <c r="F58">
        <v>57</v>
      </c>
      <c r="G58">
        <v>29.7</v>
      </c>
      <c r="H58">
        <v>3.5</v>
      </c>
      <c r="I58">
        <v>2.1</v>
      </c>
      <c r="J58">
        <v>18.600000000000001</v>
      </c>
      <c r="K58" s="1">
        <v>32000001</v>
      </c>
      <c r="L58" t="s">
        <v>21</v>
      </c>
    </row>
    <row r="59" spans="1:12">
      <c r="A59" t="s">
        <v>105</v>
      </c>
      <c r="B59" t="s">
        <v>87</v>
      </c>
      <c r="C59" t="s">
        <v>24</v>
      </c>
      <c r="D59" t="s">
        <v>25</v>
      </c>
      <c r="E59">
        <v>20</v>
      </c>
      <c r="F59">
        <v>81</v>
      </c>
      <c r="G59">
        <v>31.5</v>
      </c>
      <c r="H59">
        <v>5.3</v>
      </c>
      <c r="I59">
        <v>3.4</v>
      </c>
      <c r="J59">
        <v>18.5</v>
      </c>
      <c r="K59" s="1">
        <v>10015680</v>
      </c>
      <c r="L59" t="s">
        <v>21</v>
      </c>
    </row>
    <row r="60" spans="1:12">
      <c r="A60" t="s">
        <v>106</v>
      </c>
      <c r="B60" t="s">
        <v>100</v>
      </c>
      <c r="C60" t="s">
        <v>14</v>
      </c>
      <c r="D60" t="s">
        <v>25</v>
      </c>
      <c r="E60">
        <v>36</v>
      </c>
      <c r="F60">
        <v>77</v>
      </c>
      <c r="G60">
        <v>31.2</v>
      </c>
      <c r="H60">
        <v>2.9</v>
      </c>
      <c r="I60">
        <v>4.0999999999999996</v>
      </c>
      <c r="J60">
        <v>18.399999999999999</v>
      </c>
      <c r="K60" s="1">
        <v>24570000</v>
      </c>
      <c r="L60" t="s">
        <v>21</v>
      </c>
    </row>
    <row r="61" spans="1:12">
      <c r="A61" t="s">
        <v>107</v>
      </c>
      <c r="B61" t="s">
        <v>47</v>
      </c>
      <c r="C61" t="s">
        <v>14</v>
      </c>
      <c r="D61" t="s">
        <v>15</v>
      </c>
      <c r="E61">
        <v>23</v>
      </c>
      <c r="F61">
        <v>79</v>
      </c>
      <c r="G61">
        <v>37.4</v>
      </c>
      <c r="H61">
        <v>7.8</v>
      </c>
      <c r="I61">
        <v>5.3</v>
      </c>
      <c r="J61">
        <v>18.3</v>
      </c>
      <c r="K61" s="1">
        <v>9690600</v>
      </c>
      <c r="L61" t="s">
        <v>21</v>
      </c>
    </row>
    <row r="62" spans="1:12">
      <c r="A62" t="s">
        <v>108</v>
      </c>
      <c r="B62" t="s">
        <v>31</v>
      </c>
      <c r="C62" t="s">
        <v>24</v>
      </c>
      <c r="D62" t="s">
        <v>25</v>
      </c>
      <c r="E62">
        <v>24</v>
      </c>
      <c r="F62">
        <v>65</v>
      </c>
      <c r="G62">
        <v>31.9</v>
      </c>
      <c r="H62">
        <v>9</v>
      </c>
      <c r="I62">
        <v>3.6</v>
      </c>
      <c r="J62">
        <v>18.2</v>
      </c>
      <c r="K62" s="1">
        <v>46394100</v>
      </c>
      <c r="L62" t="s">
        <v>21</v>
      </c>
    </row>
    <row r="63" spans="1:12">
      <c r="A63" t="s">
        <v>109</v>
      </c>
      <c r="B63" t="s">
        <v>70</v>
      </c>
      <c r="C63" t="s">
        <v>24</v>
      </c>
      <c r="D63" t="s">
        <v>25</v>
      </c>
      <c r="E63">
        <v>24</v>
      </c>
      <c r="F63">
        <v>80</v>
      </c>
      <c r="G63">
        <v>33.5</v>
      </c>
      <c r="H63">
        <v>7.5</v>
      </c>
      <c r="I63">
        <v>5.9</v>
      </c>
      <c r="J63">
        <v>18.100000000000001</v>
      </c>
      <c r="K63" s="1">
        <v>38661750</v>
      </c>
      <c r="L63" t="s">
        <v>21</v>
      </c>
    </row>
    <row r="64" spans="1:12">
      <c r="A64" t="s">
        <v>110</v>
      </c>
      <c r="B64" t="s">
        <v>83</v>
      </c>
      <c r="C64" t="s">
        <v>24</v>
      </c>
      <c r="D64" t="s">
        <v>15</v>
      </c>
      <c r="E64">
        <v>27</v>
      </c>
      <c r="F64">
        <v>15</v>
      </c>
      <c r="G64">
        <v>25.6</v>
      </c>
      <c r="H64">
        <v>2</v>
      </c>
      <c r="I64">
        <v>8</v>
      </c>
      <c r="J64">
        <v>17.899999999999999</v>
      </c>
      <c r="K64" s="1">
        <v>45999660</v>
      </c>
      <c r="L64" t="s">
        <v>21</v>
      </c>
    </row>
    <row r="65" spans="1:12">
      <c r="A65" t="s">
        <v>111</v>
      </c>
      <c r="B65" t="s">
        <v>43</v>
      </c>
      <c r="C65" t="s">
        <v>14</v>
      </c>
      <c r="D65" t="s">
        <v>15</v>
      </c>
      <c r="E65">
        <v>23</v>
      </c>
      <c r="F65">
        <v>32</v>
      </c>
      <c r="G65">
        <v>25.9</v>
      </c>
      <c r="H65">
        <v>3.6</v>
      </c>
      <c r="I65">
        <v>2.8</v>
      </c>
      <c r="J65">
        <v>17.8</v>
      </c>
      <c r="K65" s="1">
        <v>33333333</v>
      </c>
      <c r="L65" t="s">
        <v>21</v>
      </c>
    </row>
    <row r="66" spans="1:12">
      <c r="A66" t="s">
        <v>112</v>
      </c>
      <c r="B66" t="s">
        <v>72</v>
      </c>
      <c r="C66" t="s">
        <v>14</v>
      </c>
      <c r="D66" t="s">
        <v>25</v>
      </c>
      <c r="E66">
        <v>26</v>
      </c>
      <c r="F66">
        <v>72</v>
      </c>
      <c r="G66">
        <v>31.2</v>
      </c>
      <c r="H66">
        <v>5.6</v>
      </c>
      <c r="I66">
        <v>2.5</v>
      </c>
      <c r="J66">
        <v>17.7</v>
      </c>
      <c r="K66" s="1">
        <v>6118644</v>
      </c>
      <c r="L66" t="s">
        <v>21</v>
      </c>
    </row>
    <row r="67" spans="1:12">
      <c r="A67" t="s">
        <v>113</v>
      </c>
      <c r="B67" t="s">
        <v>29</v>
      </c>
      <c r="C67" t="s">
        <v>14</v>
      </c>
      <c r="D67" t="s">
        <v>25</v>
      </c>
      <c r="E67">
        <v>23</v>
      </c>
      <c r="F67">
        <v>54</v>
      </c>
      <c r="G67">
        <v>30</v>
      </c>
      <c r="H67">
        <v>5.4</v>
      </c>
      <c r="I67">
        <v>2.4</v>
      </c>
      <c r="J67">
        <v>17.600000000000001</v>
      </c>
      <c r="K67" s="1">
        <v>9187573</v>
      </c>
      <c r="L67" t="s">
        <v>16</v>
      </c>
    </row>
    <row r="68" spans="1:12">
      <c r="A68" t="s">
        <v>114</v>
      </c>
      <c r="B68" t="s">
        <v>87</v>
      </c>
      <c r="C68" t="s">
        <v>24</v>
      </c>
      <c r="D68" t="s">
        <v>15</v>
      </c>
      <c r="E68">
        <v>25</v>
      </c>
      <c r="F68">
        <v>50</v>
      </c>
      <c r="G68">
        <v>25</v>
      </c>
      <c r="H68">
        <v>3.4</v>
      </c>
      <c r="I68">
        <v>4</v>
      </c>
      <c r="J68">
        <v>17.399999999999999</v>
      </c>
      <c r="K68" s="1">
        <v>12888889</v>
      </c>
      <c r="L68" t="s">
        <v>21</v>
      </c>
    </row>
    <row r="69" spans="1:12">
      <c r="A69" t="s">
        <v>115</v>
      </c>
      <c r="B69" t="s">
        <v>36</v>
      </c>
      <c r="C69" t="s">
        <v>24</v>
      </c>
      <c r="D69" t="s">
        <v>15</v>
      </c>
      <c r="E69">
        <v>25</v>
      </c>
      <c r="F69">
        <v>38</v>
      </c>
      <c r="G69">
        <v>33.200000000000003</v>
      </c>
      <c r="H69">
        <v>5.2</v>
      </c>
      <c r="I69">
        <v>7.4</v>
      </c>
      <c r="J69">
        <v>17.399999999999999</v>
      </c>
      <c r="K69" s="1">
        <v>5134000</v>
      </c>
      <c r="L69" t="s">
        <v>21</v>
      </c>
    </row>
    <row r="70" spans="1:12">
      <c r="A70" t="s">
        <v>116</v>
      </c>
      <c r="B70" t="s">
        <v>27</v>
      </c>
      <c r="C70" t="s">
        <v>24</v>
      </c>
      <c r="D70" t="s">
        <v>25</v>
      </c>
      <c r="E70">
        <v>35</v>
      </c>
      <c r="F70">
        <v>37</v>
      </c>
      <c r="G70">
        <v>30.7</v>
      </c>
      <c r="H70">
        <v>5.3</v>
      </c>
      <c r="I70">
        <v>3.6</v>
      </c>
      <c r="J70">
        <v>17.3</v>
      </c>
      <c r="K70" s="1">
        <v>51666090</v>
      </c>
      <c r="L70" t="s">
        <v>21</v>
      </c>
    </row>
    <row r="71" spans="1:12">
      <c r="A71" t="s">
        <v>117</v>
      </c>
      <c r="B71" t="s">
        <v>36</v>
      </c>
      <c r="C71" t="s">
        <v>24</v>
      </c>
      <c r="D71" t="s">
        <v>15</v>
      </c>
      <c r="E71">
        <v>23</v>
      </c>
      <c r="F71">
        <v>74</v>
      </c>
      <c r="G71">
        <v>32.1</v>
      </c>
      <c r="H71">
        <v>4.5999999999999996</v>
      </c>
      <c r="I71">
        <v>5.6</v>
      </c>
      <c r="J71">
        <v>17.3</v>
      </c>
      <c r="K71" s="1">
        <v>4000000</v>
      </c>
      <c r="L71" t="s">
        <v>21</v>
      </c>
    </row>
    <row r="72" spans="1:12">
      <c r="A72" t="s">
        <v>118</v>
      </c>
      <c r="B72" t="s">
        <v>87</v>
      </c>
      <c r="C72" t="s">
        <v>24</v>
      </c>
      <c r="D72" t="s">
        <v>25</v>
      </c>
      <c r="E72">
        <v>27</v>
      </c>
      <c r="F72">
        <v>77</v>
      </c>
      <c r="G72">
        <v>31</v>
      </c>
      <c r="H72">
        <v>5.8</v>
      </c>
      <c r="I72">
        <v>3.2</v>
      </c>
      <c r="J72">
        <v>17.100000000000001</v>
      </c>
      <c r="K72" s="1">
        <v>25000000</v>
      </c>
      <c r="L72" t="s">
        <v>21</v>
      </c>
    </row>
    <row r="73" spans="1:12">
      <c r="A73" t="s">
        <v>119</v>
      </c>
      <c r="B73" t="s">
        <v>18</v>
      </c>
      <c r="C73" t="s">
        <v>14</v>
      </c>
      <c r="D73" t="s">
        <v>25</v>
      </c>
      <c r="E73">
        <v>23</v>
      </c>
      <c r="F73">
        <v>69</v>
      </c>
      <c r="G73">
        <v>28.9</v>
      </c>
      <c r="H73">
        <v>8.9</v>
      </c>
      <c r="I73">
        <v>1.7</v>
      </c>
      <c r="J73">
        <v>17.100000000000001</v>
      </c>
      <c r="K73" s="1">
        <v>13731368</v>
      </c>
      <c r="L73" t="s">
        <v>21</v>
      </c>
    </row>
    <row r="74" spans="1:12">
      <c r="A74" t="s">
        <v>120</v>
      </c>
      <c r="B74" t="s">
        <v>18</v>
      </c>
      <c r="C74" t="s">
        <v>14</v>
      </c>
      <c r="D74" t="s">
        <v>15</v>
      </c>
      <c r="E74">
        <v>24</v>
      </c>
      <c r="F74">
        <v>33</v>
      </c>
      <c r="G74">
        <v>28.4</v>
      </c>
      <c r="H74">
        <v>4.5999999999999996</v>
      </c>
      <c r="I74">
        <v>5.5</v>
      </c>
      <c r="J74">
        <v>17.100000000000001</v>
      </c>
      <c r="K74" s="1">
        <v>6580997</v>
      </c>
      <c r="L74" t="s">
        <v>21</v>
      </c>
    </row>
    <row r="75" spans="1:12">
      <c r="A75" t="s">
        <v>121</v>
      </c>
      <c r="B75" t="s">
        <v>122</v>
      </c>
      <c r="C75" t="s">
        <v>24</v>
      </c>
      <c r="D75" t="s">
        <v>15</v>
      </c>
      <c r="E75">
        <v>23</v>
      </c>
      <c r="F75">
        <v>54</v>
      </c>
      <c r="G75">
        <v>32.1</v>
      </c>
      <c r="H75">
        <v>8.3000000000000007</v>
      </c>
      <c r="I75">
        <v>9.1</v>
      </c>
      <c r="J75">
        <v>17</v>
      </c>
      <c r="K75" s="1">
        <v>25000000</v>
      </c>
      <c r="L75" t="s">
        <v>16</v>
      </c>
    </row>
    <row r="76" spans="1:12">
      <c r="A76" t="s">
        <v>123</v>
      </c>
      <c r="B76" t="s">
        <v>23</v>
      </c>
      <c r="C76" t="s">
        <v>24</v>
      </c>
      <c r="D76" t="s">
        <v>15</v>
      </c>
      <c r="E76">
        <v>28</v>
      </c>
      <c r="F76">
        <v>79</v>
      </c>
      <c r="G76">
        <v>32.4</v>
      </c>
      <c r="H76">
        <v>3.9</v>
      </c>
      <c r="I76">
        <v>5.2</v>
      </c>
      <c r="J76">
        <v>17</v>
      </c>
      <c r="K76" s="1">
        <v>7232143</v>
      </c>
      <c r="L76" t="s">
        <v>21</v>
      </c>
    </row>
    <row r="77" spans="1:12">
      <c r="A77" t="s">
        <v>124</v>
      </c>
      <c r="B77" t="s">
        <v>56</v>
      </c>
      <c r="C77" t="s">
        <v>24</v>
      </c>
      <c r="D77" t="s">
        <v>15</v>
      </c>
      <c r="E77">
        <v>26</v>
      </c>
      <c r="F77">
        <v>57</v>
      </c>
      <c r="G77">
        <v>31.3</v>
      </c>
      <c r="H77">
        <v>2.8</v>
      </c>
      <c r="I77">
        <v>7.7</v>
      </c>
      <c r="J77">
        <v>16.899999999999999</v>
      </c>
      <c r="K77" s="1">
        <v>18102000</v>
      </c>
      <c r="L77" t="s">
        <v>16</v>
      </c>
    </row>
    <row r="78" spans="1:12">
      <c r="A78" t="s">
        <v>125</v>
      </c>
      <c r="B78" t="s">
        <v>41</v>
      </c>
      <c r="C78" t="s">
        <v>14</v>
      </c>
      <c r="D78" t="s">
        <v>34</v>
      </c>
      <c r="E78">
        <v>30</v>
      </c>
      <c r="F78">
        <v>32</v>
      </c>
      <c r="G78">
        <v>24</v>
      </c>
      <c r="H78">
        <v>5.2</v>
      </c>
      <c r="I78">
        <v>2.5</v>
      </c>
      <c r="J78">
        <v>16.7</v>
      </c>
      <c r="K78" s="1">
        <v>30731707</v>
      </c>
      <c r="L78" t="s">
        <v>16</v>
      </c>
    </row>
    <row r="79" spans="1:12">
      <c r="A79" t="s">
        <v>126</v>
      </c>
      <c r="B79" t="s">
        <v>45</v>
      </c>
      <c r="C79" t="s">
        <v>24</v>
      </c>
      <c r="D79" t="s">
        <v>25</v>
      </c>
      <c r="E79">
        <v>28</v>
      </c>
      <c r="F79">
        <v>67</v>
      </c>
      <c r="G79">
        <v>33.200000000000003</v>
      </c>
      <c r="H79">
        <v>5.2</v>
      </c>
      <c r="I79">
        <v>2.2000000000000002</v>
      </c>
      <c r="J79">
        <v>16.7</v>
      </c>
      <c r="K79" s="1">
        <v>39568966</v>
      </c>
      <c r="L79" t="s">
        <v>16</v>
      </c>
    </row>
    <row r="80" spans="1:12">
      <c r="A80" t="s">
        <v>127</v>
      </c>
      <c r="B80" t="s">
        <v>50</v>
      </c>
      <c r="C80" t="s">
        <v>14</v>
      </c>
      <c r="D80" t="s">
        <v>15</v>
      </c>
      <c r="E80">
        <v>21</v>
      </c>
      <c r="F80">
        <v>68</v>
      </c>
      <c r="G80">
        <v>30</v>
      </c>
      <c r="H80">
        <v>5.3</v>
      </c>
      <c r="I80">
        <v>7.4</v>
      </c>
      <c r="J80">
        <v>16.7</v>
      </c>
      <c r="K80" s="1">
        <v>9560520</v>
      </c>
      <c r="L80" t="s">
        <v>21</v>
      </c>
    </row>
    <row r="81" spans="1:12">
      <c r="A81" t="s">
        <v>128</v>
      </c>
      <c r="B81" t="s">
        <v>72</v>
      </c>
      <c r="C81" t="s">
        <v>14</v>
      </c>
      <c r="D81" t="s">
        <v>15</v>
      </c>
      <c r="E81">
        <v>29</v>
      </c>
      <c r="F81">
        <v>14</v>
      </c>
      <c r="G81">
        <v>27.8</v>
      </c>
      <c r="H81">
        <v>5.4</v>
      </c>
      <c r="I81">
        <v>6.4</v>
      </c>
      <c r="J81">
        <v>16.7</v>
      </c>
      <c r="K81" s="1">
        <v>26783568</v>
      </c>
      <c r="L81" t="s">
        <v>21</v>
      </c>
    </row>
    <row r="82" spans="1:12">
      <c r="A82" t="s">
        <v>129</v>
      </c>
      <c r="B82" t="s">
        <v>43</v>
      </c>
      <c r="C82" t="s">
        <v>14</v>
      </c>
      <c r="D82" t="s">
        <v>15</v>
      </c>
      <c r="E82">
        <v>30</v>
      </c>
      <c r="F82">
        <v>51</v>
      </c>
      <c r="G82">
        <v>28.8</v>
      </c>
      <c r="H82">
        <v>3</v>
      </c>
      <c r="I82">
        <v>3.8</v>
      </c>
      <c r="J82">
        <v>16.5</v>
      </c>
      <c r="K82" s="1">
        <v>16875000</v>
      </c>
      <c r="L82" t="s">
        <v>21</v>
      </c>
    </row>
    <row r="83" spans="1:12">
      <c r="A83" t="s">
        <v>130</v>
      </c>
      <c r="B83" t="s">
        <v>23</v>
      </c>
      <c r="C83" t="s">
        <v>24</v>
      </c>
      <c r="D83" t="s">
        <v>15</v>
      </c>
      <c r="E83">
        <v>31</v>
      </c>
      <c r="F83">
        <v>77</v>
      </c>
      <c r="G83">
        <v>34.1</v>
      </c>
      <c r="H83">
        <v>4.4000000000000004</v>
      </c>
      <c r="I83">
        <v>5.4</v>
      </c>
      <c r="J83">
        <v>16.5</v>
      </c>
      <c r="K83" s="1">
        <v>26350000</v>
      </c>
      <c r="L83" t="s">
        <v>21</v>
      </c>
    </row>
    <row r="84" spans="1:12">
      <c r="A84" t="s">
        <v>131</v>
      </c>
      <c r="B84" t="s">
        <v>70</v>
      </c>
      <c r="C84" t="s">
        <v>24</v>
      </c>
      <c r="D84" t="s">
        <v>15</v>
      </c>
      <c r="E84">
        <v>26</v>
      </c>
      <c r="F84">
        <v>70</v>
      </c>
      <c r="G84">
        <v>31.9</v>
      </c>
      <c r="H84">
        <v>4</v>
      </c>
      <c r="I84">
        <v>5.9</v>
      </c>
      <c r="J84">
        <v>16.399999999999999</v>
      </c>
      <c r="K84" s="1">
        <v>32500000</v>
      </c>
      <c r="L84" t="s">
        <v>21</v>
      </c>
    </row>
    <row r="85" spans="1:12">
      <c r="A85" t="s">
        <v>132</v>
      </c>
      <c r="B85" t="s">
        <v>122</v>
      </c>
      <c r="C85" t="s">
        <v>24</v>
      </c>
      <c r="D85" t="s">
        <v>25</v>
      </c>
      <c r="E85">
        <v>21</v>
      </c>
      <c r="F85">
        <v>77</v>
      </c>
      <c r="G85">
        <v>29.2</v>
      </c>
      <c r="H85">
        <v>5.8</v>
      </c>
      <c r="I85">
        <v>2.1</v>
      </c>
      <c r="J85">
        <v>16.3</v>
      </c>
      <c r="K85" s="1">
        <v>5455560</v>
      </c>
      <c r="L85" t="s">
        <v>21</v>
      </c>
    </row>
    <row r="86" spans="1:12">
      <c r="A86" t="s">
        <v>133</v>
      </c>
      <c r="B86" t="s">
        <v>52</v>
      </c>
      <c r="C86" t="s">
        <v>14</v>
      </c>
      <c r="D86" t="s">
        <v>15</v>
      </c>
      <c r="E86">
        <v>35</v>
      </c>
      <c r="F86">
        <v>53</v>
      </c>
      <c r="G86">
        <v>29.4</v>
      </c>
      <c r="H86">
        <v>4.5999999999999996</v>
      </c>
      <c r="I86">
        <v>6.1</v>
      </c>
      <c r="J86">
        <v>16.3</v>
      </c>
      <c r="K86" s="1">
        <v>32400000</v>
      </c>
      <c r="L86" t="s">
        <v>21</v>
      </c>
    </row>
    <row r="87" spans="1:12">
      <c r="A87" t="s">
        <v>134</v>
      </c>
      <c r="B87" t="s">
        <v>83</v>
      </c>
      <c r="C87" t="s">
        <v>24</v>
      </c>
      <c r="D87" t="s">
        <v>34</v>
      </c>
      <c r="E87">
        <v>20</v>
      </c>
      <c r="F87">
        <v>48</v>
      </c>
      <c r="G87">
        <v>27.2</v>
      </c>
      <c r="H87">
        <v>7.4</v>
      </c>
      <c r="I87">
        <v>2.7</v>
      </c>
      <c r="J87">
        <v>16.3</v>
      </c>
      <c r="K87" s="1">
        <v>11808240</v>
      </c>
      <c r="L87" t="s">
        <v>16</v>
      </c>
    </row>
    <row r="88" spans="1:12">
      <c r="A88" t="s">
        <v>135</v>
      </c>
      <c r="B88" t="s">
        <v>94</v>
      </c>
      <c r="C88" t="s">
        <v>14</v>
      </c>
      <c r="D88" t="s">
        <v>25</v>
      </c>
      <c r="E88">
        <v>21</v>
      </c>
      <c r="F88">
        <v>6</v>
      </c>
      <c r="G88">
        <v>30.5</v>
      </c>
      <c r="H88">
        <v>4</v>
      </c>
      <c r="I88">
        <v>1.5</v>
      </c>
      <c r="J88">
        <v>16.3</v>
      </c>
      <c r="K88" s="1">
        <v>3394530</v>
      </c>
      <c r="L88" t="s">
        <v>21</v>
      </c>
    </row>
    <row r="89" spans="1:12">
      <c r="A89" t="s">
        <v>136</v>
      </c>
      <c r="B89" t="s">
        <v>33</v>
      </c>
      <c r="C89" t="s">
        <v>14</v>
      </c>
      <c r="D89" t="s">
        <v>25</v>
      </c>
      <c r="E89">
        <v>30</v>
      </c>
      <c r="F89">
        <v>36</v>
      </c>
      <c r="G89">
        <v>27.9</v>
      </c>
      <c r="H89">
        <v>5.8</v>
      </c>
      <c r="I89">
        <v>2.7</v>
      </c>
      <c r="J89">
        <v>16.2</v>
      </c>
      <c r="K89" s="1">
        <v>22841455</v>
      </c>
      <c r="L89" t="s">
        <v>21</v>
      </c>
    </row>
    <row r="90" spans="1:12">
      <c r="A90" t="s">
        <v>137</v>
      </c>
      <c r="B90" t="s">
        <v>27</v>
      </c>
      <c r="C90" t="s">
        <v>24</v>
      </c>
      <c r="D90" t="s">
        <v>15</v>
      </c>
      <c r="E90">
        <v>20</v>
      </c>
      <c r="F90">
        <v>75</v>
      </c>
      <c r="G90">
        <v>35</v>
      </c>
      <c r="H90">
        <v>5.6</v>
      </c>
      <c r="I90">
        <v>4.2</v>
      </c>
      <c r="J90">
        <v>16</v>
      </c>
      <c r="K90" s="1">
        <v>11108880</v>
      </c>
      <c r="L90" t="s">
        <v>16</v>
      </c>
    </row>
    <row r="91" spans="1:12">
      <c r="A91" t="s">
        <v>138</v>
      </c>
      <c r="B91" t="s">
        <v>100</v>
      </c>
      <c r="C91" t="s">
        <v>14</v>
      </c>
      <c r="D91" t="s">
        <v>34</v>
      </c>
      <c r="E91">
        <v>29</v>
      </c>
      <c r="F91">
        <v>19</v>
      </c>
      <c r="G91">
        <v>29.7</v>
      </c>
      <c r="H91">
        <v>11.4</v>
      </c>
      <c r="I91">
        <v>4.0999999999999996</v>
      </c>
      <c r="J91">
        <v>15.8</v>
      </c>
      <c r="K91" s="1">
        <v>42336000</v>
      </c>
      <c r="L91" t="s">
        <v>16</v>
      </c>
    </row>
    <row r="92" spans="1:12">
      <c r="A92" t="s">
        <v>139</v>
      </c>
      <c r="B92" t="s">
        <v>47</v>
      </c>
      <c r="C92" t="s">
        <v>14</v>
      </c>
      <c r="D92" t="s">
        <v>25</v>
      </c>
      <c r="E92">
        <v>22</v>
      </c>
      <c r="F92">
        <v>77</v>
      </c>
      <c r="G92">
        <v>35.1</v>
      </c>
      <c r="H92">
        <v>6.9</v>
      </c>
      <c r="I92">
        <v>1.9</v>
      </c>
      <c r="J92">
        <v>15.8</v>
      </c>
      <c r="K92" s="1">
        <v>12350392</v>
      </c>
      <c r="L92" t="s">
        <v>21</v>
      </c>
    </row>
    <row r="93" spans="1:12">
      <c r="A93" t="s">
        <v>140</v>
      </c>
      <c r="B93" t="s">
        <v>122</v>
      </c>
      <c r="C93" t="s">
        <v>24</v>
      </c>
      <c r="D93" t="s">
        <v>15</v>
      </c>
      <c r="E93">
        <v>27</v>
      </c>
      <c r="F93">
        <v>68</v>
      </c>
      <c r="G93">
        <v>23.7</v>
      </c>
      <c r="H93">
        <v>2.2999999999999998</v>
      </c>
      <c r="I93">
        <v>3.3</v>
      </c>
      <c r="J93">
        <v>15.4</v>
      </c>
      <c r="K93" s="1">
        <v>18975000</v>
      </c>
      <c r="L93" t="s">
        <v>21</v>
      </c>
    </row>
    <row r="94" spans="1:12">
      <c r="A94" t="s">
        <v>141</v>
      </c>
      <c r="B94" t="s">
        <v>31</v>
      </c>
      <c r="C94" t="s">
        <v>24</v>
      </c>
      <c r="D94" t="s">
        <v>34</v>
      </c>
      <c r="E94">
        <v>27</v>
      </c>
      <c r="F94">
        <v>56</v>
      </c>
      <c r="G94">
        <v>27.1</v>
      </c>
      <c r="H94">
        <v>8.5</v>
      </c>
      <c r="I94">
        <v>1.8</v>
      </c>
      <c r="J94">
        <v>15.4</v>
      </c>
      <c r="K94" s="1">
        <v>20000000</v>
      </c>
      <c r="L94" t="s">
        <v>21</v>
      </c>
    </row>
    <row r="95" spans="1:12">
      <c r="A95" t="s">
        <v>142</v>
      </c>
      <c r="B95" t="s">
        <v>68</v>
      </c>
      <c r="C95" t="s">
        <v>24</v>
      </c>
      <c r="D95" t="s">
        <v>25</v>
      </c>
      <c r="E95">
        <v>24</v>
      </c>
      <c r="F95">
        <v>75</v>
      </c>
      <c r="G95">
        <v>28.3</v>
      </c>
      <c r="H95">
        <v>5</v>
      </c>
      <c r="I95">
        <v>4.7</v>
      </c>
      <c r="J95">
        <v>15.4</v>
      </c>
      <c r="K95" s="1">
        <v>3861600</v>
      </c>
      <c r="L95" t="s">
        <v>21</v>
      </c>
    </row>
    <row r="96" spans="1:12">
      <c r="A96" t="s">
        <v>143</v>
      </c>
      <c r="B96" t="s">
        <v>68</v>
      </c>
      <c r="C96" t="s">
        <v>24</v>
      </c>
      <c r="D96" t="s">
        <v>25</v>
      </c>
      <c r="E96">
        <v>30</v>
      </c>
      <c r="F96">
        <v>68</v>
      </c>
      <c r="G96">
        <v>30.3</v>
      </c>
      <c r="H96">
        <v>4.8</v>
      </c>
      <c r="I96">
        <v>2.7</v>
      </c>
      <c r="J96">
        <v>15.4</v>
      </c>
      <c r="K96" s="1">
        <v>28223215</v>
      </c>
      <c r="L96" t="s">
        <v>16</v>
      </c>
    </row>
    <row r="97" spans="1:12">
      <c r="A97" t="s">
        <v>144</v>
      </c>
      <c r="B97" t="s">
        <v>75</v>
      </c>
      <c r="C97" t="s">
        <v>14</v>
      </c>
      <c r="D97" t="s">
        <v>25</v>
      </c>
      <c r="E97">
        <v>28</v>
      </c>
      <c r="F97">
        <v>74</v>
      </c>
      <c r="G97">
        <v>29.5</v>
      </c>
      <c r="H97">
        <v>4.7</v>
      </c>
      <c r="I97">
        <v>3.3</v>
      </c>
      <c r="J97">
        <v>15.2</v>
      </c>
      <c r="K97" s="1">
        <v>9000000</v>
      </c>
      <c r="L97" t="s">
        <v>21</v>
      </c>
    </row>
    <row r="98" spans="1:12">
      <c r="A98" t="s">
        <v>145</v>
      </c>
      <c r="B98" t="s">
        <v>63</v>
      </c>
      <c r="C98" t="s">
        <v>24</v>
      </c>
      <c r="D98" t="s">
        <v>34</v>
      </c>
      <c r="E98">
        <v>25</v>
      </c>
      <c r="F98">
        <v>74</v>
      </c>
      <c r="G98">
        <v>31</v>
      </c>
      <c r="H98">
        <v>7.6</v>
      </c>
      <c r="I98">
        <v>3.1</v>
      </c>
      <c r="J98">
        <v>15.2</v>
      </c>
      <c r="K98" s="1">
        <v>15000000</v>
      </c>
      <c r="L98" t="s">
        <v>21</v>
      </c>
    </row>
    <row r="99" spans="1:12">
      <c r="A99" t="s">
        <v>146</v>
      </c>
      <c r="B99" t="s">
        <v>100</v>
      </c>
      <c r="C99" t="s">
        <v>14</v>
      </c>
      <c r="D99" t="s">
        <v>25</v>
      </c>
      <c r="E99">
        <v>37</v>
      </c>
      <c r="F99">
        <v>64</v>
      </c>
      <c r="G99">
        <v>29</v>
      </c>
      <c r="H99">
        <v>5.4</v>
      </c>
      <c r="I99">
        <v>6.7</v>
      </c>
      <c r="J99">
        <v>15.2</v>
      </c>
      <c r="K99" s="1">
        <v>3634153</v>
      </c>
      <c r="L99" t="s">
        <v>21</v>
      </c>
    </row>
    <row r="100" spans="1:12">
      <c r="A100" t="s">
        <v>147</v>
      </c>
      <c r="B100" t="s">
        <v>23</v>
      </c>
      <c r="C100" t="s">
        <v>24</v>
      </c>
      <c r="D100" t="s">
        <v>34</v>
      </c>
      <c r="E100">
        <v>35</v>
      </c>
      <c r="F100">
        <v>64</v>
      </c>
      <c r="G100">
        <v>28.4</v>
      </c>
      <c r="H100">
        <v>8.4</v>
      </c>
      <c r="I100">
        <v>3.3</v>
      </c>
      <c r="J100">
        <v>15.1</v>
      </c>
      <c r="K100" s="1">
        <v>21481481</v>
      </c>
      <c r="L100" t="s">
        <v>16</v>
      </c>
    </row>
    <row r="101" spans="1:12">
      <c r="A101" t="s">
        <v>148</v>
      </c>
      <c r="B101" t="s">
        <v>65</v>
      </c>
      <c r="C101" t="s">
        <v>24</v>
      </c>
      <c r="D101" t="s">
        <v>15</v>
      </c>
      <c r="E101">
        <v>22</v>
      </c>
      <c r="F101">
        <v>64</v>
      </c>
      <c r="G101">
        <v>29.8</v>
      </c>
      <c r="H101">
        <v>3.8</v>
      </c>
      <c r="I101">
        <v>3.7</v>
      </c>
      <c r="J101">
        <v>15</v>
      </c>
      <c r="K101" s="1">
        <v>7970280</v>
      </c>
      <c r="L101" t="s">
        <v>21</v>
      </c>
    </row>
    <row r="102" spans="1:12">
      <c r="A102" t="s">
        <v>149</v>
      </c>
      <c r="B102" t="s">
        <v>39</v>
      </c>
      <c r="C102" t="s">
        <v>14</v>
      </c>
      <c r="D102" t="s">
        <v>15</v>
      </c>
      <c r="E102">
        <v>23</v>
      </c>
      <c r="F102">
        <v>11</v>
      </c>
      <c r="G102">
        <v>32.299999999999997</v>
      </c>
      <c r="H102">
        <v>3.4</v>
      </c>
      <c r="I102">
        <v>6.7</v>
      </c>
      <c r="J102">
        <v>15</v>
      </c>
      <c r="K102" s="1">
        <v>117730</v>
      </c>
      <c r="L102" t="s">
        <v>21</v>
      </c>
    </row>
    <row r="103" spans="1:12">
      <c r="A103" t="s">
        <v>150</v>
      </c>
      <c r="B103" t="s">
        <v>39</v>
      </c>
      <c r="C103" t="s">
        <v>14</v>
      </c>
      <c r="D103" t="s">
        <v>25</v>
      </c>
      <c r="E103">
        <v>22</v>
      </c>
      <c r="F103">
        <v>75</v>
      </c>
      <c r="G103">
        <v>23.5</v>
      </c>
      <c r="H103">
        <v>3.1</v>
      </c>
      <c r="I103">
        <v>1.9</v>
      </c>
      <c r="J103">
        <v>14.9</v>
      </c>
      <c r="K103" s="1">
        <v>2693760</v>
      </c>
      <c r="L103" t="s">
        <v>21</v>
      </c>
    </row>
    <row r="104" spans="1:12">
      <c r="A104" t="s">
        <v>151</v>
      </c>
      <c r="B104" t="s">
        <v>20</v>
      </c>
      <c r="C104" t="s">
        <v>14</v>
      </c>
      <c r="D104" t="s">
        <v>15</v>
      </c>
      <c r="E104">
        <v>26</v>
      </c>
      <c r="F104">
        <v>69</v>
      </c>
      <c r="G104">
        <v>27.3</v>
      </c>
      <c r="H104">
        <v>3.4</v>
      </c>
      <c r="I104">
        <v>3.6</v>
      </c>
      <c r="J104">
        <v>14.8</v>
      </c>
      <c r="K104" s="1">
        <v>7518518</v>
      </c>
      <c r="L104" t="s">
        <v>21</v>
      </c>
    </row>
    <row r="105" spans="1:12">
      <c r="A105" t="s">
        <v>152</v>
      </c>
      <c r="B105" t="s">
        <v>83</v>
      </c>
      <c r="C105" t="s">
        <v>24</v>
      </c>
      <c r="D105" t="s">
        <v>25</v>
      </c>
      <c r="E105">
        <v>22</v>
      </c>
      <c r="F105">
        <v>48</v>
      </c>
      <c r="G105">
        <v>29</v>
      </c>
      <c r="H105">
        <v>5.0999999999999996</v>
      </c>
      <c r="I105">
        <v>4.5</v>
      </c>
      <c r="J105">
        <v>14.8</v>
      </c>
      <c r="K105" s="1">
        <v>2966760</v>
      </c>
      <c r="L105" t="s">
        <v>16</v>
      </c>
    </row>
    <row r="106" spans="1:12">
      <c r="A106" t="s">
        <v>153</v>
      </c>
      <c r="B106" t="s">
        <v>20</v>
      </c>
      <c r="C106" t="s">
        <v>14</v>
      </c>
      <c r="D106" t="s">
        <v>25</v>
      </c>
      <c r="E106">
        <v>25</v>
      </c>
      <c r="F106">
        <v>73</v>
      </c>
      <c r="G106">
        <v>31.7</v>
      </c>
      <c r="H106">
        <v>4.2</v>
      </c>
      <c r="I106">
        <v>2.7</v>
      </c>
      <c r="J106">
        <v>14.8</v>
      </c>
      <c r="K106" s="1">
        <v>24393103</v>
      </c>
      <c r="L106" t="s">
        <v>21</v>
      </c>
    </row>
    <row r="107" spans="1:12">
      <c r="A107" t="s">
        <v>154</v>
      </c>
      <c r="B107" t="s">
        <v>33</v>
      </c>
      <c r="C107" t="s">
        <v>14</v>
      </c>
      <c r="D107" t="s">
        <v>25</v>
      </c>
      <c r="E107">
        <v>23</v>
      </c>
      <c r="F107">
        <v>54</v>
      </c>
      <c r="G107">
        <v>29.6</v>
      </c>
      <c r="H107">
        <v>4.9000000000000004</v>
      </c>
      <c r="I107">
        <v>2.1</v>
      </c>
      <c r="J107">
        <v>14.6</v>
      </c>
      <c r="K107" s="1">
        <v>4356476</v>
      </c>
      <c r="L107" t="s">
        <v>21</v>
      </c>
    </row>
    <row r="108" spans="1:12">
      <c r="A108" t="s">
        <v>155</v>
      </c>
      <c r="B108" t="s">
        <v>45</v>
      </c>
      <c r="C108" t="s">
        <v>24</v>
      </c>
      <c r="D108" t="s">
        <v>25</v>
      </c>
      <c r="E108">
        <v>29</v>
      </c>
      <c r="F108">
        <v>82</v>
      </c>
      <c r="G108">
        <v>32.799999999999997</v>
      </c>
      <c r="H108">
        <v>3.8</v>
      </c>
      <c r="I108">
        <v>3.7</v>
      </c>
      <c r="J108">
        <v>14.4</v>
      </c>
      <c r="K108" s="1">
        <v>24900000</v>
      </c>
      <c r="L108" t="s">
        <v>21</v>
      </c>
    </row>
    <row r="109" spans="1:12">
      <c r="A109" t="s">
        <v>156</v>
      </c>
      <c r="B109" t="s">
        <v>39</v>
      </c>
      <c r="C109" t="s">
        <v>14</v>
      </c>
      <c r="D109" t="s">
        <v>34</v>
      </c>
      <c r="E109">
        <v>24</v>
      </c>
      <c r="F109">
        <v>5</v>
      </c>
      <c r="G109">
        <v>30.8</v>
      </c>
      <c r="H109">
        <v>10.8</v>
      </c>
      <c r="I109">
        <v>3</v>
      </c>
      <c r="J109">
        <v>14.4</v>
      </c>
      <c r="K109" s="1">
        <v>4878938</v>
      </c>
      <c r="L109" t="s">
        <v>21</v>
      </c>
    </row>
    <row r="110" spans="1:12">
      <c r="A110" t="s">
        <v>157</v>
      </c>
      <c r="B110" t="s">
        <v>122</v>
      </c>
      <c r="C110" t="s">
        <v>24</v>
      </c>
      <c r="D110" t="s">
        <v>15</v>
      </c>
      <c r="E110">
        <v>26</v>
      </c>
      <c r="F110">
        <v>55</v>
      </c>
      <c r="G110">
        <v>24.9</v>
      </c>
      <c r="H110">
        <v>2.5</v>
      </c>
      <c r="I110">
        <v>2.4</v>
      </c>
      <c r="J110">
        <v>14.3</v>
      </c>
      <c r="K110" s="1">
        <v>27678571</v>
      </c>
      <c r="L110" t="s">
        <v>21</v>
      </c>
    </row>
    <row r="111" spans="1:12">
      <c r="A111" t="s">
        <v>158</v>
      </c>
      <c r="B111" t="s">
        <v>72</v>
      </c>
      <c r="C111" t="s">
        <v>14</v>
      </c>
      <c r="D111" t="s">
        <v>15</v>
      </c>
      <c r="E111">
        <v>19</v>
      </c>
      <c r="F111">
        <v>82</v>
      </c>
      <c r="G111">
        <v>25.8</v>
      </c>
      <c r="H111">
        <v>3.7</v>
      </c>
      <c r="I111">
        <v>3.4</v>
      </c>
      <c r="J111">
        <v>14.3</v>
      </c>
      <c r="K111" s="1">
        <v>7520040</v>
      </c>
      <c r="L111" t="s">
        <v>21</v>
      </c>
    </row>
    <row r="112" spans="1:12">
      <c r="A112" t="s">
        <v>159</v>
      </c>
      <c r="B112" t="s">
        <v>36</v>
      </c>
      <c r="C112" t="s">
        <v>24</v>
      </c>
      <c r="D112" t="s">
        <v>15</v>
      </c>
      <c r="E112">
        <v>27</v>
      </c>
      <c r="F112">
        <v>11</v>
      </c>
      <c r="G112">
        <v>24.6</v>
      </c>
      <c r="H112">
        <v>2.5</v>
      </c>
      <c r="I112">
        <v>1.7</v>
      </c>
      <c r="J112">
        <v>14.3</v>
      </c>
      <c r="K112" s="1">
        <v>168253</v>
      </c>
      <c r="L112" t="s">
        <v>21</v>
      </c>
    </row>
    <row r="113" spans="1:12">
      <c r="A113" t="s">
        <v>160</v>
      </c>
      <c r="B113" t="s">
        <v>52</v>
      </c>
      <c r="C113" t="s">
        <v>14</v>
      </c>
      <c r="D113" t="s">
        <v>15</v>
      </c>
      <c r="E113">
        <v>21</v>
      </c>
      <c r="F113">
        <v>30</v>
      </c>
      <c r="G113">
        <v>24.9</v>
      </c>
      <c r="H113">
        <v>2.7</v>
      </c>
      <c r="I113">
        <v>3.7</v>
      </c>
      <c r="J113">
        <v>14.2</v>
      </c>
      <c r="K113" s="1">
        <v>10748040</v>
      </c>
      <c r="L113" t="s">
        <v>21</v>
      </c>
    </row>
    <row r="114" spans="1:12">
      <c r="A114" t="s">
        <v>161</v>
      </c>
      <c r="B114" t="s">
        <v>75</v>
      </c>
      <c r="C114" t="s">
        <v>14</v>
      </c>
      <c r="D114" t="s">
        <v>25</v>
      </c>
      <c r="E114">
        <v>27</v>
      </c>
      <c r="F114">
        <v>56</v>
      </c>
      <c r="G114">
        <v>31</v>
      </c>
      <c r="H114">
        <v>7</v>
      </c>
      <c r="I114">
        <v>1.8</v>
      </c>
      <c r="J114">
        <v>14.2</v>
      </c>
      <c r="K114" s="1">
        <v>14152174</v>
      </c>
      <c r="L114" t="s">
        <v>21</v>
      </c>
    </row>
    <row r="115" spans="1:12">
      <c r="A115" t="s">
        <v>162</v>
      </c>
      <c r="B115" t="s">
        <v>56</v>
      </c>
      <c r="C115" t="s">
        <v>24</v>
      </c>
      <c r="D115" t="s">
        <v>34</v>
      </c>
      <c r="E115">
        <v>28</v>
      </c>
      <c r="F115">
        <v>48</v>
      </c>
      <c r="G115">
        <v>30.1</v>
      </c>
      <c r="H115">
        <v>10.6</v>
      </c>
      <c r="I115">
        <v>2.2000000000000002</v>
      </c>
      <c r="J115">
        <v>14.1</v>
      </c>
      <c r="K115" s="1">
        <v>18102000</v>
      </c>
      <c r="L115" t="s">
        <v>16</v>
      </c>
    </row>
    <row r="116" spans="1:12">
      <c r="A116" t="s">
        <v>163</v>
      </c>
      <c r="B116" t="s">
        <v>122</v>
      </c>
      <c r="C116" t="s">
        <v>24</v>
      </c>
      <c r="D116" t="s">
        <v>15</v>
      </c>
      <c r="E116">
        <v>26</v>
      </c>
      <c r="F116">
        <v>65</v>
      </c>
      <c r="G116">
        <v>27</v>
      </c>
      <c r="H116">
        <v>3.1</v>
      </c>
      <c r="I116">
        <v>5.4</v>
      </c>
      <c r="J116">
        <v>14.1</v>
      </c>
      <c r="K116" s="1">
        <v>8000000</v>
      </c>
      <c r="L116" t="s">
        <v>21</v>
      </c>
    </row>
    <row r="117" spans="1:12">
      <c r="A117" t="s">
        <v>164</v>
      </c>
      <c r="B117" t="s">
        <v>27</v>
      </c>
      <c r="C117" t="s">
        <v>24</v>
      </c>
      <c r="D117" t="s">
        <v>25</v>
      </c>
      <c r="E117">
        <v>30</v>
      </c>
      <c r="F117">
        <v>50</v>
      </c>
      <c r="G117">
        <v>31.5</v>
      </c>
      <c r="H117">
        <v>5</v>
      </c>
      <c r="I117">
        <v>1.6</v>
      </c>
      <c r="J117">
        <v>14.1</v>
      </c>
      <c r="K117" s="1">
        <v>8382150</v>
      </c>
      <c r="L117" t="s">
        <v>21</v>
      </c>
    </row>
    <row r="118" spans="1:12">
      <c r="A118" t="s">
        <v>165</v>
      </c>
      <c r="B118" t="s">
        <v>94</v>
      </c>
      <c r="C118" t="s">
        <v>14</v>
      </c>
      <c r="D118" t="s">
        <v>25</v>
      </c>
      <c r="E118">
        <v>25</v>
      </c>
      <c r="F118">
        <v>43</v>
      </c>
      <c r="G118">
        <v>27.9</v>
      </c>
      <c r="H118">
        <v>6.7</v>
      </c>
      <c r="I118">
        <v>2.9</v>
      </c>
      <c r="J118">
        <v>14</v>
      </c>
      <c r="K118" s="1">
        <v>18485916</v>
      </c>
      <c r="L118" t="s">
        <v>16</v>
      </c>
    </row>
    <row r="119" spans="1:12">
      <c r="A119" t="s">
        <v>166</v>
      </c>
      <c r="B119" t="s">
        <v>100</v>
      </c>
      <c r="C119" t="s">
        <v>14</v>
      </c>
      <c r="D119" t="s">
        <v>25</v>
      </c>
      <c r="E119">
        <v>25</v>
      </c>
      <c r="F119">
        <v>23</v>
      </c>
      <c r="G119">
        <v>34.5</v>
      </c>
      <c r="H119">
        <v>5.7</v>
      </c>
      <c r="I119">
        <v>1.7</v>
      </c>
      <c r="J119">
        <v>14</v>
      </c>
      <c r="K119" s="1">
        <v>11144093</v>
      </c>
      <c r="L119" t="s">
        <v>21</v>
      </c>
    </row>
    <row r="120" spans="1:12">
      <c r="A120" t="s">
        <v>167</v>
      </c>
      <c r="B120" t="s">
        <v>50</v>
      </c>
      <c r="C120" t="s">
        <v>14</v>
      </c>
      <c r="D120" t="s">
        <v>15</v>
      </c>
      <c r="E120">
        <v>25</v>
      </c>
      <c r="F120">
        <v>67</v>
      </c>
      <c r="G120">
        <v>30.5</v>
      </c>
      <c r="H120">
        <v>4</v>
      </c>
      <c r="I120">
        <v>2.5</v>
      </c>
      <c r="J120">
        <v>13.9</v>
      </c>
      <c r="K120" s="1">
        <v>27000000</v>
      </c>
      <c r="L120" t="s">
        <v>21</v>
      </c>
    </row>
    <row r="121" spans="1:12">
      <c r="A121" t="s">
        <v>168</v>
      </c>
      <c r="B121" t="s">
        <v>39</v>
      </c>
      <c r="C121" t="s">
        <v>14</v>
      </c>
      <c r="D121" t="s">
        <v>25</v>
      </c>
      <c r="E121">
        <v>19</v>
      </c>
      <c r="F121">
        <v>72</v>
      </c>
      <c r="G121">
        <v>27.6</v>
      </c>
      <c r="H121">
        <v>4.2</v>
      </c>
      <c r="I121">
        <v>1.8</v>
      </c>
      <c r="J121">
        <v>13.8</v>
      </c>
      <c r="K121" s="1">
        <v>9069840</v>
      </c>
      <c r="L121" t="s">
        <v>21</v>
      </c>
    </row>
    <row r="122" spans="1:12">
      <c r="A122" t="s">
        <v>169</v>
      </c>
      <c r="B122" t="s">
        <v>56</v>
      </c>
      <c r="C122" t="s">
        <v>24</v>
      </c>
      <c r="D122" t="s">
        <v>25</v>
      </c>
      <c r="E122">
        <v>26</v>
      </c>
      <c r="F122">
        <v>45</v>
      </c>
      <c r="G122">
        <v>29.7</v>
      </c>
      <c r="H122">
        <v>4.2</v>
      </c>
      <c r="I122">
        <v>1.9</v>
      </c>
      <c r="J122">
        <v>13.8</v>
      </c>
      <c r="K122" s="1">
        <v>11000000</v>
      </c>
      <c r="L122" t="s">
        <v>21</v>
      </c>
    </row>
    <row r="123" spans="1:12">
      <c r="A123" t="s">
        <v>170</v>
      </c>
      <c r="B123" t="s">
        <v>41</v>
      </c>
      <c r="C123" t="s">
        <v>14</v>
      </c>
      <c r="D123" t="s">
        <v>15</v>
      </c>
      <c r="E123">
        <v>22</v>
      </c>
      <c r="F123">
        <v>82</v>
      </c>
      <c r="G123">
        <v>28.5</v>
      </c>
      <c r="H123">
        <v>5.0999999999999996</v>
      </c>
      <c r="I123">
        <v>3.7</v>
      </c>
      <c r="J123">
        <v>13.8</v>
      </c>
      <c r="K123" s="1">
        <v>3687960</v>
      </c>
      <c r="L123" t="s">
        <v>21</v>
      </c>
    </row>
    <row r="124" spans="1:12">
      <c r="A124" t="s">
        <v>171</v>
      </c>
      <c r="B124" t="s">
        <v>65</v>
      </c>
      <c r="C124" t="s">
        <v>24</v>
      </c>
      <c r="D124" t="s">
        <v>15</v>
      </c>
      <c r="E124">
        <v>24</v>
      </c>
      <c r="F124">
        <v>57</v>
      </c>
      <c r="G124">
        <v>27.6</v>
      </c>
      <c r="H124">
        <v>3.9</v>
      </c>
      <c r="I124">
        <v>5.5</v>
      </c>
      <c r="J124">
        <v>13.8</v>
      </c>
      <c r="K124" s="1">
        <v>35000000</v>
      </c>
      <c r="L124" t="s">
        <v>21</v>
      </c>
    </row>
    <row r="125" spans="1:12">
      <c r="A125" t="s">
        <v>172</v>
      </c>
      <c r="B125" t="s">
        <v>100</v>
      </c>
      <c r="C125" t="s">
        <v>14</v>
      </c>
      <c r="D125" t="s">
        <v>25</v>
      </c>
      <c r="E125">
        <v>28</v>
      </c>
      <c r="F125">
        <v>45</v>
      </c>
      <c r="G125">
        <v>26.1</v>
      </c>
      <c r="H125">
        <v>4.0999999999999996</v>
      </c>
      <c r="I125">
        <v>2</v>
      </c>
      <c r="J125">
        <v>13.7</v>
      </c>
      <c r="K125" s="1">
        <v>23303571</v>
      </c>
      <c r="L125" t="s">
        <v>21</v>
      </c>
    </row>
    <row r="126" spans="1:12">
      <c r="A126" t="s">
        <v>173</v>
      </c>
      <c r="B126" t="s">
        <v>36</v>
      </c>
      <c r="C126" t="s">
        <v>24</v>
      </c>
      <c r="D126" t="s">
        <v>25</v>
      </c>
      <c r="E126">
        <v>30</v>
      </c>
      <c r="F126">
        <v>67</v>
      </c>
      <c r="G126">
        <v>24.2</v>
      </c>
      <c r="H126">
        <v>6.4</v>
      </c>
      <c r="I126">
        <v>1.6</v>
      </c>
      <c r="J126">
        <v>13.7</v>
      </c>
      <c r="K126" s="1">
        <v>13445754</v>
      </c>
      <c r="L126" t="s">
        <v>21</v>
      </c>
    </row>
    <row r="127" spans="1:12">
      <c r="A127" t="s">
        <v>174</v>
      </c>
      <c r="B127" t="s">
        <v>29</v>
      </c>
      <c r="C127" t="s">
        <v>14</v>
      </c>
      <c r="D127" t="s">
        <v>25</v>
      </c>
      <c r="E127">
        <v>28</v>
      </c>
      <c r="F127">
        <v>69</v>
      </c>
      <c r="G127">
        <v>27.1</v>
      </c>
      <c r="H127">
        <v>5.3</v>
      </c>
      <c r="I127">
        <v>1</v>
      </c>
      <c r="J127">
        <v>13.6</v>
      </c>
      <c r="K127" s="1">
        <v>26580000</v>
      </c>
      <c r="L127" t="s">
        <v>21</v>
      </c>
    </row>
    <row r="128" spans="1:12">
      <c r="A128" t="s">
        <v>175</v>
      </c>
      <c r="B128" t="s">
        <v>94</v>
      </c>
      <c r="C128" t="s">
        <v>14</v>
      </c>
      <c r="D128" t="s">
        <v>15</v>
      </c>
      <c r="E128">
        <v>22</v>
      </c>
      <c r="F128">
        <v>62</v>
      </c>
      <c r="G128">
        <v>25.8</v>
      </c>
      <c r="H128">
        <v>5.9</v>
      </c>
      <c r="I128">
        <v>2.8</v>
      </c>
      <c r="J128">
        <v>13.6</v>
      </c>
      <c r="K128" s="1">
        <v>5715120</v>
      </c>
      <c r="L128" t="s">
        <v>21</v>
      </c>
    </row>
    <row r="129" spans="1:12">
      <c r="A129" t="s">
        <v>176</v>
      </c>
      <c r="B129" t="s">
        <v>94</v>
      </c>
      <c r="C129" t="s">
        <v>14</v>
      </c>
      <c r="D129" t="s">
        <v>34</v>
      </c>
      <c r="E129">
        <v>23</v>
      </c>
      <c r="F129">
        <v>11</v>
      </c>
      <c r="G129">
        <v>25.8</v>
      </c>
      <c r="H129">
        <v>11.1</v>
      </c>
      <c r="I129">
        <v>1.1000000000000001</v>
      </c>
      <c r="J129">
        <v>13.6</v>
      </c>
      <c r="K129" s="1">
        <v>6045000</v>
      </c>
      <c r="L129" t="s">
        <v>16</v>
      </c>
    </row>
    <row r="130" spans="1:12">
      <c r="A130" t="s">
        <v>177</v>
      </c>
      <c r="B130" t="s">
        <v>18</v>
      </c>
      <c r="C130" t="s">
        <v>14</v>
      </c>
      <c r="D130" t="s">
        <v>15</v>
      </c>
      <c r="E130">
        <v>23</v>
      </c>
      <c r="F130">
        <v>57</v>
      </c>
      <c r="G130">
        <v>25.8</v>
      </c>
      <c r="H130">
        <v>3.3</v>
      </c>
      <c r="I130">
        <v>3.6</v>
      </c>
      <c r="J130">
        <v>13.6</v>
      </c>
      <c r="K130" s="1">
        <v>3000000</v>
      </c>
      <c r="L130" t="s">
        <v>16</v>
      </c>
    </row>
    <row r="131" spans="1:12">
      <c r="A131" t="s">
        <v>178</v>
      </c>
      <c r="B131" t="s">
        <v>20</v>
      </c>
      <c r="C131" t="s">
        <v>14</v>
      </c>
      <c r="D131" t="s">
        <v>34</v>
      </c>
      <c r="E131">
        <v>26</v>
      </c>
      <c r="F131">
        <v>77</v>
      </c>
      <c r="G131">
        <v>26.1</v>
      </c>
      <c r="H131">
        <v>6.2</v>
      </c>
      <c r="I131">
        <v>2.2000000000000002</v>
      </c>
      <c r="J131">
        <v>13.6</v>
      </c>
      <c r="K131" s="1">
        <v>21551724</v>
      </c>
      <c r="L131" t="s">
        <v>21</v>
      </c>
    </row>
    <row r="132" spans="1:12">
      <c r="A132" t="s">
        <v>179</v>
      </c>
      <c r="B132" t="s">
        <v>33</v>
      </c>
      <c r="C132" t="s">
        <v>14</v>
      </c>
      <c r="D132" t="s">
        <v>15</v>
      </c>
      <c r="E132">
        <v>33</v>
      </c>
      <c r="F132">
        <v>80</v>
      </c>
      <c r="G132">
        <v>26.6</v>
      </c>
      <c r="H132">
        <v>2.6</v>
      </c>
      <c r="I132">
        <v>1.4</v>
      </c>
      <c r="J132">
        <v>13.5</v>
      </c>
      <c r="K132" s="1">
        <v>3634153</v>
      </c>
      <c r="L132" t="s">
        <v>21</v>
      </c>
    </row>
    <row r="133" spans="1:12">
      <c r="A133" t="s">
        <v>180</v>
      </c>
      <c r="B133" t="s">
        <v>47</v>
      </c>
      <c r="C133" t="s">
        <v>14</v>
      </c>
      <c r="D133" t="s">
        <v>15</v>
      </c>
      <c r="E133">
        <v>21</v>
      </c>
      <c r="F133">
        <v>82</v>
      </c>
      <c r="G133">
        <v>26.2</v>
      </c>
      <c r="H133">
        <v>2.9</v>
      </c>
      <c r="I133">
        <v>3.4</v>
      </c>
      <c r="J133">
        <v>13.5</v>
      </c>
      <c r="K133" s="1">
        <v>10603560</v>
      </c>
      <c r="L133" t="s">
        <v>21</v>
      </c>
    </row>
    <row r="134" spans="1:12">
      <c r="A134" t="s">
        <v>181</v>
      </c>
      <c r="B134" t="s">
        <v>52</v>
      </c>
      <c r="C134" t="s">
        <v>14</v>
      </c>
      <c r="D134" t="s">
        <v>25</v>
      </c>
      <c r="E134">
        <v>25</v>
      </c>
      <c r="F134">
        <v>82</v>
      </c>
      <c r="G134">
        <v>33.299999999999997</v>
      </c>
      <c r="H134">
        <v>5.0999999999999996</v>
      </c>
      <c r="I134">
        <v>2.5</v>
      </c>
      <c r="J134">
        <v>13.4</v>
      </c>
      <c r="K134" s="1">
        <v>2221677</v>
      </c>
      <c r="L134" t="s">
        <v>16</v>
      </c>
    </row>
    <row r="135" spans="1:12">
      <c r="A135" t="s">
        <v>182</v>
      </c>
      <c r="B135" t="s">
        <v>27</v>
      </c>
      <c r="C135" t="s">
        <v>24</v>
      </c>
      <c r="D135" t="s">
        <v>15</v>
      </c>
      <c r="E135">
        <v>25</v>
      </c>
      <c r="F135">
        <v>75</v>
      </c>
      <c r="G135">
        <v>29.4</v>
      </c>
      <c r="H135">
        <v>3.6</v>
      </c>
      <c r="I135">
        <v>3.3</v>
      </c>
      <c r="J135">
        <v>13.4</v>
      </c>
      <c r="K135" s="1">
        <v>8741209</v>
      </c>
      <c r="L135" t="s">
        <v>21</v>
      </c>
    </row>
    <row r="136" spans="1:12">
      <c r="A136" t="s">
        <v>183</v>
      </c>
      <c r="B136" t="s">
        <v>72</v>
      </c>
      <c r="C136" t="s">
        <v>14</v>
      </c>
      <c r="D136" t="s">
        <v>15</v>
      </c>
      <c r="E136">
        <v>26</v>
      </c>
      <c r="F136">
        <v>39</v>
      </c>
      <c r="G136">
        <v>23.9</v>
      </c>
      <c r="H136">
        <v>2</v>
      </c>
      <c r="I136">
        <v>3.1</v>
      </c>
      <c r="J136">
        <v>13.4</v>
      </c>
      <c r="K136" s="1">
        <v>31848215</v>
      </c>
      <c r="L136" t="s">
        <v>21</v>
      </c>
    </row>
    <row r="137" spans="1:12">
      <c r="A137" t="s">
        <v>184</v>
      </c>
      <c r="B137" t="s">
        <v>58</v>
      </c>
      <c r="C137" t="s">
        <v>24</v>
      </c>
      <c r="D137" t="s">
        <v>25</v>
      </c>
      <c r="E137">
        <v>33</v>
      </c>
      <c r="F137">
        <v>63</v>
      </c>
      <c r="G137">
        <v>27.7</v>
      </c>
      <c r="H137">
        <v>5.0999999999999996</v>
      </c>
      <c r="I137">
        <v>2.5</v>
      </c>
      <c r="J137">
        <v>13.3</v>
      </c>
      <c r="K137" s="1">
        <v>26634146</v>
      </c>
      <c r="L137" t="s">
        <v>21</v>
      </c>
    </row>
    <row r="138" spans="1:12">
      <c r="A138" t="s">
        <v>185</v>
      </c>
      <c r="B138" t="s">
        <v>50</v>
      </c>
      <c r="C138" t="s">
        <v>14</v>
      </c>
      <c r="D138" t="s">
        <v>25</v>
      </c>
      <c r="E138">
        <v>26</v>
      </c>
      <c r="F138">
        <v>82</v>
      </c>
      <c r="G138">
        <v>23.3</v>
      </c>
      <c r="H138">
        <v>5.4</v>
      </c>
      <c r="I138">
        <v>1.4</v>
      </c>
      <c r="J138">
        <v>13.2</v>
      </c>
      <c r="K138" s="1">
        <v>17500000</v>
      </c>
      <c r="L138" t="s">
        <v>21</v>
      </c>
    </row>
    <row r="139" spans="1:12">
      <c r="A139" t="s">
        <v>186</v>
      </c>
      <c r="B139" t="s">
        <v>31</v>
      </c>
      <c r="C139" t="s">
        <v>24</v>
      </c>
      <c r="D139" t="s">
        <v>15</v>
      </c>
      <c r="E139">
        <v>23</v>
      </c>
      <c r="F139">
        <v>66</v>
      </c>
      <c r="G139">
        <v>26.9</v>
      </c>
      <c r="H139">
        <v>5.0999999999999996</v>
      </c>
      <c r="I139">
        <v>2.2000000000000002</v>
      </c>
      <c r="J139">
        <v>13.2</v>
      </c>
      <c r="K139" s="1">
        <v>3492480</v>
      </c>
      <c r="L139" t="s">
        <v>21</v>
      </c>
    </row>
    <row r="140" spans="1:12">
      <c r="A140" t="s">
        <v>187</v>
      </c>
      <c r="B140" t="s">
        <v>36</v>
      </c>
      <c r="C140" t="s">
        <v>24</v>
      </c>
      <c r="D140" t="s">
        <v>25</v>
      </c>
      <c r="E140">
        <v>30</v>
      </c>
      <c r="F140">
        <v>69</v>
      </c>
      <c r="G140">
        <v>26.2</v>
      </c>
      <c r="H140">
        <v>4.5</v>
      </c>
      <c r="I140">
        <v>2.7</v>
      </c>
      <c r="J140">
        <v>13</v>
      </c>
      <c r="K140" s="1">
        <v>21477272</v>
      </c>
      <c r="L140" t="s">
        <v>21</v>
      </c>
    </row>
    <row r="141" spans="1:12">
      <c r="A141" t="s">
        <v>188</v>
      </c>
      <c r="B141" t="s">
        <v>75</v>
      </c>
      <c r="C141" t="s">
        <v>14</v>
      </c>
      <c r="D141" t="s">
        <v>15</v>
      </c>
      <c r="E141">
        <v>26</v>
      </c>
      <c r="F141">
        <v>66</v>
      </c>
      <c r="G141">
        <v>22.2</v>
      </c>
      <c r="H141">
        <v>2.9</v>
      </c>
      <c r="I141">
        <v>3.9</v>
      </c>
      <c r="J141">
        <v>13</v>
      </c>
      <c r="K141" s="1">
        <v>2270735</v>
      </c>
      <c r="L141" t="s">
        <v>21</v>
      </c>
    </row>
    <row r="142" spans="1:12">
      <c r="A142" t="s">
        <v>189</v>
      </c>
      <c r="B142" t="s">
        <v>31</v>
      </c>
      <c r="C142" t="s">
        <v>24</v>
      </c>
      <c r="D142" t="s">
        <v>15</v>
      </c>
      <c r="E142">
        <v>29</v>
      </c>
      <c r="F142">
        <v>52</v>
      </c>
      <c r="G142">
        <v>26.5</v>
      </c>
      <c r="H142">
        <v>2.6</v>
      </c>
      <c r="I142">
        <v>2.4</v>
      </c>
      <c r="J142">
        <v>12.8</v>
      </c>
      <c r="K142" s="1">
        <v>8482144</v>
      </c>
      <c r="L142" t="s">
        <v>21</v>
      </c>
    </row>
    <row r="143" spans="1:12">
      <c r="A143" t="s">
        <v>190</v>
      </c>
      <c r="B143" t="s">
        <v>43</v>
      </c>
      <c r="C143" t="s">
        <v>14</v>
      </c>
      <c r="D143" t="s">
        <v>15</v>
      </c>
      <c r="E143">
        <v>26</v>
      </c>
      <c r="F143">
        <v>80</v>
      </c>
      <c r="G143">
        <v>28.5</v>
      </c>
      <c r="H143">
        <v>4.0999999999999996</v>
      </c>
      <c r="I143">
        <v>4.5999999999999996</v>
      </c>
      <c r="J143">
        <v>12.7</v>
      </c>
      <c r="K143" s="1">
        <v>2378870</v>
      </c>
      <c r="L143" t="s">
        <v>21</v>
      </c>
    </row>
    <row r="144" spans="1:12">
      <c r="A144" t="s">
        <v>191</v>
      </c>
      <c r="B144" t="s">
        <v>13</v>
      </c>
      <c r="C144" t="s">
        <v>14</v>
      </c>
      <c r="D144" t="s">
        <v>34</v>
      </c>
      <c r="E144">
        <v>27</v>
      </c>
      <c r="F144">
        <v>72</v>
      </c>
      <c r="G144">
        <v>27.2</v>
      </c>
      <c r="H144">
        <v>8</v>
      </c>
      <c r="I144">
        <v>0.8</v>
      </c>
      <c r="J144">
        <v>12.5</v>
      </c>
      <c r="K144" s="1">
        <v>8104000</v>
      </c>
      <c r="L144" t="s">
        <v>16</v>
      </c>
    </row>
    <row r="145" spans="1:12">
      <c r="A145" t="s">
        <v>192</v>
      </c>
      <c r="B145" t="s">
        <v>94</v>
      </c>
      <c r="C145" t="s">
        <v>14</v>
      </c>
      <c r="D145" t="s">
        <v>25</v>
      </c>
      <c r="E145">
        <v>21</v>
      </c>
      <c r="F145">
        <v>55</v>
      </c>
      <c r="G145">
        <v>21.4</v>
      </c>
      <c r="H145">
        <v>4.3</v>
      </c>
      <c r="I145">
        <v>1.5</v>
      </c>
      <c r="J145">
        <v>12.5</v>
      </c>
      <c r="K145" s="1">
        <v>2221677</v>
      </c>
      <c r="L145" t="s">
        <v>21</v>
      </c>
    </row>
    <row r="146" spans="1:12">
      <c r="A146" t="s">
        <v>193</v>
      </c>
      <c r="B146" t="s">
        <v>100</v>
      </c>
      <c r="C146" t="s">
        <v>14</v>
      </c>
      <c r="D146" t="s">
        <v>15</v>
      </c>
      <c r="E146">
        <v>27</v>
      </c>
      <c r="F146">
        <v>62</v>
      </c>
      <c r="G146">
        <v>22</v>
      </c>
      <c r="H146">
        <v>1.9</v>
      </c>
      <c r="I146">
        <v>3</v>
      </c>
      <c r="J146">
        <v>12.5</v>
      </c>
      <c r="K146" s="1">
        <v>18797619</v>
      </c>
      <c r="L146" t="s">
        <v>21</v>
      </c>
    </row>
    <row r="147" spans="1:12">
      <c r="A147" t="s">
        <v>194</v>
      </c>
      <c r="B147" t="s">
        <v>100</v>
      </c>
      <c r="C147" t="s">
        <v>14</v>
      </c>
      <c r="D147" t="s">
        <v>34</v>
      </c>
      <c r="E147">
        <v>22</v>
      </c>
      <c r="F147">
        <v>74</v>
      </c>
      <c r="G147">
        <v>26.5</v>
      </c>
      <c r="H147">
        <v>7.5</v>
      </c>
      <c r="I147">
        <v>1.4</v>
      </c>
      <c r="J147">
        <v>12.5</v>
      </c>
      <c r="K147" s="1">
        <v>1272870</v>
      </c>
      <c r="L147" t="s">
        <v>16</v>
      </c>
    </row>
    <row r="148" spans="1:12">
      <c r="A148" t="s">
        <v>195</v>
      </c>
      <c r="B148" t="s">
        <v>94</v>
      </c>
      <c r="C148" t="s">
        <v>14</v>
      </c>
      <c r="D148" t="s">
        <v>15</v>
      </c>
      <c r="E148">
        <v>22</v>
      </c>
      <c r="F148">
        <v>69</v>
      </c>
      <c r="G148">
        <v>26.4</v>
      </c>
      <c r="H148">
        <v>3.2</v>
      </c>
      <c r="I148">
        <v>1.6</v>
      </c>
      <c r="J148">
        <v>12.5</v>
      </c>
      <c r="K148" s="1">
        <v>1955377</v>
      </c>
      <c r="L148" t="s">
        <v>21</v>
      </c>
    </row>
    <row r="149" spans="1:12">
      <c r="A149" t="s">
        <v>196</v>
      </c>
      <c r="B149" t="s">
        <v>75</v>
      </c>
      <c r="C149" t="s">
        <v>14</v>
      </c>
      <c r="D149" t="s">
        <v>15</v>
      </c>
      <c r="E149">
        <v>22</v>
      </c>
      <c r="F149">
        <v>77</v>
      </c>
      <c r="G149">
        <v>29.1</v>
      </c>
      <c r="H149">
        <v>3.2</v>
      </c>
      <c r="I149">
        <v>2</v>
      </c>
      <c r="J149">
        <v>12.3</v>
      </c>
      <c r="K149" s="1">
        <v>7714286</v>
      </c>
      <c r="L149" t="s">
        <v>21</v>
      </c>
    </row>
    <row r="150" spans="1:12">
      <c r="A150" t="s">
        <v>197</v>
      </c>
      <c r="B150" t="s">
        <v>54</v>
      </c>
      <c r="C150" t="s">
        <v>24</v>
      </c>
      <c r="D150" t="s">
        <v>25</v>
      </c>
      <c r="E150">
        <v>21</v>
      </c>
      <c r="F150">
        <v>66</v>
      </c>
      <c r="G150">
        <v>27</v>
      </c>
      <c r="H150">
        <v>4.0999999999999996</v>
      </c>
      <c r="I150">
        <v>1.6</v>
      </c>
      <c r="J150">
        <v>12.3</v>
      </c>
      <c r="K150" s="1">
        <v>3398640</v>
      </c>
      <c r="L150" t="s">
        <v>21</v>
      </c>
    </row>
    <row r="151" spans="1:12">
      <c r="A151" t="s">
        <v>198</v>
      </c>
      <c r="B151" t="s">
        <v>41</v>
      </c>
      <c r="C151" t="s">
        <v>14</v>
      </c>
      <c r="D151" t="s">
        <v>15</v>
      </c>
      <c r="E151">
        <v>27</v>
      </c>
      <c r="F151">
        <v>49</v>
      </c>
      <c r="G151">
        <v>23</v>
      </c>
      <c r="H151">
        <v>3.2</v>
      </c>
      <c r="I151">
        <v>2.6</v>
      </c>
      <c r="J151">
        <v>12.3</v>
      </c>
      <c r="K151" s="1">
        <v>3080921</v>
      </c>
      <c r="L151" t="s">
        <v>21</v>
      </c>
    </row>
    <row r="152" spans="1:12">
      <c r="A152" t="s">
        <v>199</v>
      </c>
      <c r="B152" t="s">
        <v>63</v>
      </c>
      <c r="C152" t="s">
        <v>24</v>
      </c>
      <c r="D152" t="s">
        <v>25</v>
      </c>
      <c r="E152">
        <v>23</v>
      </c>
      <c r="F152">
        <v>36</v>
      </c>
      <c r="G152">
        <v>23.1</v>
      </c>
      <c r="H152">
        <v>5.6</v>
      </c>
      <c r="I152">
        <v>2.2999999999999998</v>
      </c>
      <c r="J152">
        <v>12.2</v>
      </c>
      <c r="K152" s="1">
        <v>22500000</v>
      </c>
      <c r="L152" t="s">
        <v>16</v>
      </c>
    </row>
    <row r="153" spans="1:12">
      <c r="A153" t="s">
        <v>200</v>
      </c>
      <c r="B153" t="s">
        <v>20</v>
      </c>
      <c r="C153" t="s">
        <v>14</v>
      </c>
      <c r="D153" t="s">
        <v>15</v>
      </c>
      <c r="E153">
        <v>29</v>
      </c>
      <c r="F153">
        <v>82</v>
      </c>
      <c r="G153">
        <v>30.4</v>
      </c>
      <c r="H153">
        <v>4.0999999999999996</v>
      </c>
      <c r="I153">
        <v>3.8</v>
      </c>
      <c r="J153">
        <v>12.2</v>
      </c>
      <c r="K153" s="1">
        <v>11990000</v>
      </c>
      <c r="L153" t="s">
        <v>21</v>
      </c>
    </row>
    <row r="154" spans="1:12">
      <c r="A154" t="s">
        <v>201</v>
      </c>
      <c r="B154" t="s">
        <v>33</v>
      </c>
      <c r="C154" t="s">
        <v>14</v>
      </c>
      <c r="D154" t="s">
        <v>25</v>
      </c>
      <c r="E154">
        <v>29</v>
      </c>
      <c r="F154">
        <v>54</v>
      </c>
      <c r="G154">
        <v>30.5</v>
      </c>
      <c r="H154">
        <v>3.8</v>
      </c>
      <c r="I154">
        <v>2.4</v>
      </c>
      <c r="J154">
        <v>12.2</v>
      </c>
      <c r="K154" s="1">
        <v>20543478</v>
      </c>
      <c r="L154" t="s">
        <v>21</v>
      </c>
    </row>
    <row r="155" spans="1:12">
      <c r="A155" t="s">
        <v>202</v>
      </c>
      <c r="B155" t="s">
        <v>83</v>
      </c>
      <c r="C155" t="s">
        <v>24</v>
      </c>
      <c r="D155" t="s">
        <v>15</v>
      </c>
      <c r="E155">
        <v>19</v>
      </c>
      <c r="F155">
        <v>60</v>
      </c>
      <c r="G155">
        <v>24.1</v>
      </c>
      <c r="H155">
        <v>2.8</v>
      </c>
      <c r="I155">
        <v>2</v>
      </c>
      <c r="J155">
        <v>12.2</v>
      </c>
      <c r="K155" s="1">
        <v>8237640</v>
      </c>
      <c r="L155" t="s">
        <v>21</v>
      </c>
    </row>
    <row r="156" spans="1:12">
      <c r="A156" t="s">
        <v>203</v>
      </c>
      <c r="B156" t="s">
        <v>58</v>
      </c>
      <c r="C156" t="s">
        <v>24</v>
      </c>
      <c r="D156" t="s">
        <v>15</v>
      </c>
      <c r="E156">
        <v>31</v>
      </c>
      <c r="F156">
        <v>77</v>
      </c>
      <c r="G156">
        <v>27.4</v>
      </c>
      <c r="H156">
        <v>2.7</v>
      </c>
      <c r="I156">
        <v>2.1</v>
      </c>
      <c r="J156">
        <v>12.2</v>
      </c>
      <c r="K156" s="1">
        <v>16834692</v>
      </c>
      <c r="L156" t="s">
        <v>21</v>
      </c>
    </row>
    <row r="157" spans="1:12">
      <c r="A157" t="s">
        <v>204</v>
      </c>
      <c r="B157" t="s">
        <v>52</v>
      </c>
      <c r="C157" t="s">
        <v>14</v>
      </c>
      <c r="D157" t="s">
        <v>34</v>
      </c>
      <c r="E157">
        <v>21</v>
      </c>
      <c r="F157">
        <v>77</v>
      </c>
      <c r="G157">
        <v>27.2</v>
      </c>
      <c r="H157">
        <v>11.6</v>
      </c>
      <c r="I157">
        <v>2.1</v>
      </c>
      <c r="J157">
        <v>12.1</v>
      </c>
      <c r="K157" s="1">
        <v>7178400</v>
      </c>
      <c r="L157" t="s">
        <v>21</v>
      </c>
    </row>
    <row r="158" spans="1:12">
      <c r="A158" t="s">
        <v>205</v>
      </c>
      <c r="B158" t="s">
        <v>41</v>
      </c>
      <c r="C158" t="s">
        <v>14</v>
      </c>
      <c r="D158" t="s">
        <v>15</v>
      </c>
      <c r="E158">
        <v>23</v>
      </c>
      <c r="F158">
        <v>60</v>
      </c>
      <c r="G158">
        <v>25.7</v>
      </c>
      <c r="H158">
        <v>3.3</v>
      </c>
      <c r="I158">
        <v>1.6</v>
      </c>
      <c r="J158">
        <v>12.1</v>
      </c>
      <c r="K158" s="1">
        <v>11574075</v>
      </c>
      <c r="L158" t="s">
        <v>21</v>
      </c>
    </row>
    <row r="159" spans="1:12">
      <c r="A159" t="s">
        <v>206</v>
      </c>
      <c r="B159" t="s">
        <v>33</v>
      </c>
      <c r="C159" t="s">
        <v>14</v>
      </c>
      <c r="D159" t="s">
        <v>15</v>
      </c>
      <c r="E159">
        <v>24</v>
      </c>
      <c r="F159">
        <v>44</v>
      </c>
      <c r="G159">
        <v>31.8</v>
      </c>
      <c r="H159">
        <v>4.8</v>
      </c>
      <c r="I159">
        <v>2.7</v>
      </c>
      <c r="J159">
        <v>12</v>
      </c>
      <c r="K159" s="1">
        <v>4921797</v>
      </c>
      <c r="L159" t="s">
        <v>21</v>
      </c>
    </row>
    <row r="160" spans="1:12">
      <c r="A160" t="s">
        <v>207</v>
      </c>
      <c r="B160" t="s">
        <v>45</v>
      </c>
      <c r="C160" t="s">
        <v>24</v>
      </c>
      <c r="D160" t="s">
        <v>25</v>
      </c>
      <c r="E160">
        <v>30</v>
      </c>
      <c r="F160">
        <v>66</v>
      </c>
      <c r="G160">
        <v>30.2</v>
      </c>
      <c r="H160">
        <v>7.4</v>
      </c>
      <c r="I160">
        <v>4.8</v>
      </c>
      <c r="J160">
        <v>12</v>
      </c>
      <c r="K160" s="1">
        <v>19472240</v>
      </c>
      <c r="L160" t="s">
        <v>21</v>
      </c>
    </row>
    <row r="161" spans="1:12">
      <c r="A161" t="s">
        <v>208</v>
      </c>
      <c r="B161" t="s">
        <v>45</v>
      </c>
      <c r="C161" t="s">
        <v>24</v>
      </c>
      <c r="D161" t="s">
        <v>15</v>
      </c>
      <c r="E161">
        <v>25</v>
      </c>
      <c r="F161">
        <v>41</v>
      </c>
      <c r="G161">
        <v>26.3</v>
      </c>
      <c r="H161">
        <v>2.4</v>
      </c>
      <c r="I161">
        <v>2.6</v>
      </c>
      <c r="J161">
        <v>12</v>
      </c>
      <c r="K161" s="1">
        <v>4333333</v>
      </c>
      <c r="L161" t="s">
        <v>21</v>
      </c>
    </row>
    <row r="162" spans="1:12">
      <c r="A162" t="s">
        <v>209</v>
      </c>
      <c r="B162" t="s">
        <v>47</v>
      </c>
      <c r="C162" t="s">
        <v>14</v>
      </c>
      <c r="D162" t="s">
        <v>15</v>
      </c>
      <c r="E162">
        <v>24</v>
      </c>
      <c r="F162">
        <v>1</v>
      </c>
      <c r="G162">
        <v>12</v>
      </c>
      <c r="H162">
        <v>3</v>
      </c>
      <c r="I162">
        <v>0</v>
      </c>
      <c r="J162">
        <v>12</v>
      </c>
      <c r="K162" s="1">
        <v>365767</v>
      </c>
      <c r="L162" t="s">
        <v>21</v>
      </c>
    </row>
    <row r="163" spans="1:12">
      <c r="A163" t="s">
        <v>210</v>
      </c>
      <c r="B163" t="s">
        <v>63</v>
      </c>
      <c r="C163" t="s">
        <v>24</v>
      </c>
      <c r="D163" t="s">
        <v>15</v>
      </c>
      <c r="E163">
        <v>22</v>
      </c>
      <c r="F163">
        <v>76</v>
      </c>
      <c r="G163">
        <v>33.200000000000003</v>
      </c>
      <c r="H163">
        <v>6.8</v>
      </c>
      <c r="I163">
        <v>5.9</v>
      </c>
      <c r="J163">
        <v>11.9</v>
      </c>
      <c r="K163" s="1">
        <v>7707709</v>
      </c>
      <c r="L163" t="s">
        <v>16</v>
      </c>
    </row>
    <row r="164" spans="1:12">
      <c r="A164" t="s">
        <v>211</v>
      </c>
      <c r="B164" t="s">
        <v>39</v>
      </c>
      <c r="C164" t="s">
        <v>14</v>
      </c>
      <c r="D164" t="s">
        <v>25</v>
      </c>
      <c r="E164">
        <v>26</v>
      </c>
      <c r="F164">
        <v>14</v>
      </c>
      <c r="G164">
        <v>20.399999999999999</v>
      </c>
      <c r="H164">
        <v>2.4</v>
      </c>
      <c r="I164">
        <v>1.1000000000000001</v>
      </c>
      <c r="J164">
        <v>11.9</v>
      </c>
      <c r="K164" s="1">
        <v>230433</v>
      </c>
      <c r="L164" t="s">
        <v>21</v>
      </c>
    </row>
    <row r="165" spans="1:12">
      <c r="A165" t="s">
        <v>212</v>
      </c>
      <c r="B165" t="s">
        <v>36</v>
      </c>
      <c r="C165" t="s">
        <v>24</v>
      </c>
      <c r="D165" t="s">
        <v>34</v>
      </c>
      <c r="E165">
        <v>29</v>
      </c>
      <c r="F165">
        <v>71</v>
      </c>
      <c r="G165">
        <v>26.9</v>
      </c>
      <c r="H165">
        <v>5.3</v>
      </c>
      <c r="I165">
        <v>1.5</v>
      </c>
      <c r="J165">
        <v>11.9</v>
      </c>
      <c r="K165" s="1">
        <v>25318251</v>
      </c>
      <c r="L165" t="s">
        <v>21</v>
      </c>
    </row>
    <row r="166" spans="1:12">
      <c r="A166" t="s">
        <v>213</v>
      </c>
      <c r="B166" t="s">
        <v>65</v>
      </c>
      <c r="C166" t="s">
        <v>24</v>
      </c>
      <c r="D166" t="s">
        <v>34</v>
      </c>
      <c r="E166">
        <v>26</v>
      </c>
      <c r="F166">
        <v>78</v>
      </c>
      <c r="G166">
        <v>29.3</v>
      </c>
      <c r="H166">
        <v>7.4</v>
      </c>
      <c r="I166">
        <v>2</v>
      </c>
      <c r="J166">
        <v>11.8</v>
      </c>
      <c r="K166" s="1">
        <v>10850000</v>
      </c>
      <c r="L166" t="s">
        <v>21</v>
      </c>
    </row>
    <row r="167" spans="1:12">
      <c r="A167" t="s">
        <v>214</v>
      </c>
      <c r="B167" t="s">
        <v>50</v>
      </c>
      <c r="C167" t="s">
        <v>14</v>
      </c>
      <c r="D167" t="s">
        <v>15</v>
      </c>
      <c r="E167">
        <v>19</v>
      </c>
      <c r="F167">
        <v>69</v>
      </c>
      <c r="G167">
        <v>22.6</v>
      </c>
      <c r="H167">
        <v>3.4</v>
      </c>
      <c r="I167">
        <v>3.9</v>
      </c>
      <c r="J167">
        <v>11.8</v>
      </c>
      <c r="K167" s="1">
        <v>12370320</v>
      </c>
      <c r="L167" t="s">
        <v>21</v>
      </c>
    </row>
    <row r="168" spans="1:12">
      <c r="A168" t="s">
        <v>215</v>
      </c>
      <c r="B168" t="s">
        <v>83</v>
      </c>
      <c r="C168" t="s">
        <v>24</v>
      </c>
      <c r="D168" t="s">
        <v>25</v>
      </c>
      <c r="E168">
        <v>22</v>
      </c>
      <c r="F168">
        <v>13</v>
      </c>
      <c r="G168">
        <v>30.9</v>
      </c>
      <c r="H168">
        <v>10.5</v>
      </c>
      <c r="I168">
        <v>1.8</v>
      </c>
      <c r="J168">
        <v>11.8</v>
      </c>
      <c r="K168" s="1">
        <v>160938</v>
      </c>
      <c r="L168" t="s">
        <v>21</v>
      </c>
    </row>
    <row r="169" spans="1:12">
      <c r="A169" t="s">
        <v>216</v>
      </c>
      <c r="B169" t="s">
        <v>54</v>
      </c>
      <c r="C169" t="s">
        <v>24</v>
      </c>
      <c r="D169" t="s">
        <v>34</v>
      </c>
      <c r="E169">
        <v>26</v>
      </c>
      <c r="F169">
        <v>69</v>
      </c>
      <c r="G169">
        <v>27.8</v>
      </c>
      <c r="H169">
        <v>6.9</v>
      </c>
      <c r="I169">
        <v>3.7</v>
      </c>
      <c r="J169">
        <v>11.7</v>
      </c>
      <c r="K169" s="1">
        <v>25352272</v>
      </c>
      <c r="L169" t="s">
        <v>21</v>
      </c>
    </row>
    <row r="170" spans="1:12">
      <c r="A170" t="s">
        <v>217</v>
      </c>
      <c r="B170" t="s">
        <v>39</v>
      </c>
      <c r="C170" t="s">
        <v>14</v>
      </c>
      <c r="D170" t="s">
        <v>15</v>
      </c>
      <c r="E170">
        <v>21</v>
      </c>
      <c r="F170">
        <v>59</v>
      </c>
      <c r="G170">
        <v>25.7</v>
      </c>
      <c r="H170">
        <v>2.5</v>
      </c>
      <c r="I170">
        <v>7.2</v>
      </c>
      <c r="J170">
        <v>11.7</v>
      </c>
      <c r="K170" s="1">
        <v>2638200</v>
      </c>
      <c r="L170" t="s">
        <v>21</v>
      </c>
    </row>
    <row r="171" spans="1:12">
      <c r="A171" t="s">
        <v>218</v>
      </c>
      <c r="B171" t="s">
        <v>83</v>
      </c>
      <c r="C171" t="s">
        <v>24</v>
      </c>
      <c r="D171" t="s">
        <v>15</v>
      </c>
      <c r="E171">
        <v>21</v>
      </c>
      <c r="F171">
        <v>56</v>
      </c>
      <c r="G171">
        <v>26.2</v>
      </c>
      <c r="H171">
        <v>4.3</v>
      </c>
      <c r="I171">
        <v>2.6</v>
      </c>
      <c r="J171">
        <v>11.7</v>
      </c>
      <c r="K171" s="1">
        <v>7275600</v>
      </c>
      <c r="L171" t="s">
        <v>16</v>
      </c>
    </row>
    <row r="172" spans="1:12">
      <c r="A172" t="s">
        <v>219</v>
      </c>
      <c r="B172" t="s">
        <v>72</v>
      </c>
      <c r="C172" t="s">
        <v>14</v>
      </c>
      <c r="D172" t="s">
        <v>34</v>
      </c>
      <c r="E172">
        <v>21</v>
      </c>
      <c r="F172">
        <v>81</v>
      </c>
      <c r="G172">
        <v>25</v>
      </c>
      <c r="H172">
        <v>7.1</v>
      </c>
      <c r="I172">
        <v>3.7</v>
      </c>
      <c r="J172">
        <v>11.7</v>
      </c>
      <c r="K172" s="1">
        <v>5157960</v>
      </c>
      <c r="L172" t="s">
        <v>21</v>
      </c>
    </row>
    <row r="173" spans="1:12">
      <c r="A173" t="s">
        <v>220</v>
      </c>
      <c r="B173" t="s">
        <v>75</v>
      </c>
      <c r="C173" t="s">
        <v>14</v>
      </c>
      <c r="D173" t="s">
        <v>25</v>
      </c>
      <c r="E173">
        <v>35</v>
      </c>
      <c r="F173">
        <v>69</v>
      </c>
      <c r="G173">
        <v>21.7</v>
      </c>
      <c r="H173">
        <v>2.1</v>
      </c>
      <c r="I173">
        <v>1.4</v>
      </c>
      <c r="J173">
        <v>11.7</v>
      </c>
      <c r="K173" s="1">
        <v>16666667</v>
      </c>
      <c r="L173" t="s">
        <v>21</v>
      </c>
    </row>
    <row r="174" spans="1:12">
      <c r="A174" t="s">
        <v>221</v>
      </c>
      <c r="B174" t="s">
        <v>43</v>
      </c>
      <c r="C174" t="s">
        <v>14</v>
      </c>
      <c r="D174" t="s">
        <v>34</v>
      </c>
      <c r="E174">
        <v>24</v>
      </c>
      <c r="F174">
        <v>60</v>
      </c>
      <c r="G174">
        <v>23.6</v>
      </c>
      <c r="H174">
        <v>8</v>
      </c>
      <c r="I174">
        <v>1</v>
      </c>
      <c r="J174">
        <v>11.7</v>
      </c>
      <c r="K174" s="1">
        <v>6276531</v>
      </c>
      <c r="L174" t="s">
        <v>21</v>
      </c>
    </row>
    <row r="175" spans="1:12">
      <c r="A175" t="s">
        <v>222</v>
      </c>
      <c r="B175" t="s">
        <v>56</v>
      </c>
      <c r="C175" t="s">
        <v>24</v>
      </c>
      <c r="D175" t="s">
        <v>25</v>
      </c>
      <c r="E175">
        <v>27</v>
      </c>
      <c r="F175">
        <v>24</v>
      </c>
      <c r="G175">
        <v>17.7</v>
      </c>
      <c r="H175">
        <v>4.4000000000000004</v>
      </c>
      <c r="I175">
        <v>2.2999999999999998</v>
      </c>
      <c r="J175">
        <v>11.6</v>
      </c>
      <c r="K175" s="1">
        <v>14000000</v>
      </c>
      <c r="L175" t="s">
        <v>21</v>
      </c>
    </row>
    <row r="176" spans="1:12">
      <c r="A176" t="s">
        <v>223</v>
      </c>
      <c r="B176" t="s">
        <v>56</v>
      </c>
      <c r="C176" t="s">
        <v>24</v>
      </c>
      <c r="D176" t="s">
        <v>25</v>
      </c>
      <c r="E176">
        <v>22</v>
      </c>
      <c r="F176">
        <v>76</v>
      </c>
      <c r="G176">
        <v>25.7</v>
      </c>
      <c r="H176">
        <v>5.0999999999999996</v>
      </c>
      <c r="I176">
        <v>2.5</v>
      </c>
      <c r="J176">
        <v>11.6</v>
      </c>
      <c r="K176" s="1">
        <v>6665520</v>
      </c>
      <c r="L176" t="s">
        <v>21</v>
      </c>
    </row>
    <row r="177" spans="1:12">
      <c r="A177" t="s">
        <v>224</v>
      </c>
      <c r="B177" t="s">
        <v>13</v>
      </c>
      <c r="C177" t="s">
        <v>14</v>
      </c>
      <c r="D177" t="s">
        <v>25</v>
      </c>
      <c r="E177">
        <v>27</v>
      </c>
      <c r="F177">
        <v>68</v>
      </c>
      <c r="G177">
        <v>28.3</v>
      </c>
      <c r="H177">
        <v>3.3</v>
      </c>
      <c r="I177">
        <v>0.8</v>
      </c>
      <c r="J177">
        <v>11.5</v>
      </c>
      <c r="K177" s="1">
        <v>18259259</v>
      </c>
      <c r="L177" t="s">
        <v>16</v>
      </c>
    </row>
    <row r="178" spans="1:12">
      <c r="A178" t="s">
        <v>225</v>
      </c>
      <c r="B178" t="s">
        <v>39</v>
      </c>
      <c r="C178" t="s">
        <v>14</v>
      </c>
      <c r="D178" t="s">
        <v>34</v>
      </c>
      <c r="E178">
        <v>22</v>
      </c>
      <c r="F178">
        <v>77</v>
      </c>
      <c r="G178">
        <v>23.4</v>
      </c>
      <c r="H178">
        <v>7.2</v>
      </c>
      <c r="I178">
        <v>2.6</v>
      </c>
      <c r="J178">
        <v>11.4</v>
      </c>
      <c r="K178" s="1">
        <v>3000000</v>
      </c>
      <c r="L178" t="s">
        <v>21</v>
      </c>
    </row>
    <row r="179" spans="1:12">
      <c r="A179" t="s">
        <v>226</v>
      </c>
      <c r="B179" t="s">
        <v>68</v>
      </c>
      <c r="C179" t="s">
        <v>24</v>
      </c>
      <c r="D179" t="s">
        <v>15</v>
      </c>
      <c r="E179">
        <v>24</v>
      </c>
      <c r="F179">
        <v>70</v>
      </c>
      <c r="G179">
        <v>26.4</v>
      </c>
      <c r="H179">
        <v>3.5</v>
      </c>
      <c r="I179">
        <v>3.4</v>
      </c>
      <c r="J179">
        <v>11.4</v>
      </c>
      <c r="K179" s="1">
        <v>1955377</v>
      </c>
      <c r="L179" t="s">
        <v>16</v>
      </c>
    </row>
    <row r="180" spans="1:12">
      <c r="A180" t="s">
        <v>227</v>
      </c>
      <c r="B180" t="s">
        <v>94</v>
      </c>
      <c r="C180" t="s">
        <v>14</v>
      </c>
      <c r="D180" t="s">
        <v>15</v>
      </c>
      <c r="E180">
        <v>25</v>
      </c>
      <c r="F180">
        <v>10</v>
      </c>
      <c r="G180">
        <v>21.2</v>
      </c>
      <c r="H180">
        <v>2.2000000000000002</v>
      </c>
      <c r="I180">
        <v>4.7</v>
      </c>
      <c r="J180">
        <v>11.4</v>
      </c>
      <c r="K180" s="1">
        <v>2270735</v>
      </c>
      <c r="L180" t="s">
        <v>21</v>
      </c>
    </row>
    <row r="181" spans="1:12">
      <c r="A181" t="s">
        <v>228</v>
      </c>
      <c r="B181" t="s">
        <v>70</v>
      </c>
      <c r="C181" t="s">
        <v>24</v>
      </c>
      <c r="D181" t="s">
        <v>34</v>
      </c>
      <c r="E181">
        <v>26</v>
      </c>
      <c r="F181">
        <v>80</v>
      </c>
      <c r="G181">
        <v>21.9</v>
      </c>
      <c r="H181">
        <v>4.9000000000000004</v>
      </c>
      <c r="I181">
        <v>1.9</v>
      </c>
      <c r="J181">
        <v>11.2</v>
      </c>
      <c r="K181" s="1">
        <v>2461463</v>
      </c>
      <c r="L181" t="s">
        <v>16</v>
      </c>
    </row>
    <row r="182" spans="1:12">
      <c r="A182" t="s">
        <v>229</v>
      </c>
      <c r="B182" t="s">
        <v>31</v>
      </c>
      <c r="C182" t="s">
        <v>24</v>
      </c>
      <c r="D182" t="s">
        <v>25</v>
      </c>
      <c r="E182">
        <v>29</v>
      </c>
      <c r="F182">
        <v>12</v>
      </c>
      <c r="G182">
        <v>24</v>
      </c>
      <c r="H182">
        <v>5.4</v>
      </c>
      <c r="I182">
        <v>2</v>
      </c>
      <c r="J182">
        <v>11.2</v>
      </c>
      <c r="K182" s="1">
        <v>15936452</v>
      </c>
      <c r="L182" t="s">
        <v>21</v>
      </c>
    </row>
    <row r="183" spans="1:12">
      <c r="A183" t="s">
        <v>230</v>
      </c>
      <c r="B183" t="s">
        <v>50</v>
      </c>
      <c r="C183" t="s">
        <v>14</v>
      </c>
      <c r="D183" t="s">
        <v>25</v>
      </c>
      <c r="E183">
        <v>24</v>
      </c>
      <c r="F183">
        <v>82</v>
      </c>
      <c r="G183">
        <v>27.6</v>
      </c>
      <c r="H183">
        <v>5.8</v>
      </c>
      <c r="I183">
        <v>1.5</v>
      </c>
      <c r="J183">
        <v>11.1</v>
      </c>
      <c r="K183" s="1">
        <v>3000000</v>
      </c>
      <c r="L183" t="s">
        <v>21</v>
      </c>
    </row>
    <row r="184" spans="1:12">
      <c r="A184" t="s">
        <v>231</v>
      </c>
      <c r="B184" t="s">
        <v>18</v>
      </c>
      <c r="C184" t="s">
        <v>14</v>
      </c>
      <c r="D184" t="s">
        <v>15</v>
      </c>
      <c r="E184">
        <v>26</v>
      </c>
      <c r="F184">
        <v>71</v>
      </c>
      <c r="G184">
        <v>21.2</v>
      </c>
      <c r="H184">
        <v>2.5</v>
      </c>
      <c r="I184">
        <v>1.3</v>
      </c>
      <c r="J184">
        <v>11.1</v>
      </c>
      <c r="K184" s="1">
        <v>12362338</v>
      </c>
      <c r="L184" t="s">
        <v>21</v>
      </c>
    </row>
    <row r="185" spans="1:12">
      <c r="A185" t="s">
        <v>232</v>
      </c>
      <c r="B185" t="s">
        <v>94</v>
      </c>
      <c r="C185" t="s">
        <v>14</v>
      </c>
      <c r="D185" t="s">
        <v>15</v>
      </c>
      <c r="E185">
        <v>25</v>
      </c>
      <c r="F185">
        <v>72</v>
      </c>
      <c r="G185">
        <v>23.8</v>
      </c>
      <c r="H185">
        <v>2.5</v>
      </c>
      <c r="I185">
        <v>5.6</v>
      </c>
      <c r="J185">
        <v>11.1</v>
      </c>
      <c r="K185" s="1">
        <v>2537989</v>
      </c>
      <c r="L185" t="s">
        <v>21</v>
      </c>
    </row>
    <row r="186" spans="1:12">
      <c r="A186" t="s">
        <v>233</v>
      </c>
      <c r="B186" t="s">
        <v>68</v>
      </c>
      <c r="C186" t="s">
        <v>24</v>
      </c>
      <c r="D186" t="s">
        <v>34</v>
      </c>
      <c r="E186">
        <v>21</v>
      </c>
      <c r="F186">
        <v>77</v>
      </c>
      <c r="G186">
        <v>22.1</v>
      </c>
      <c r="H186">
        <v>9</v>
      </c>
      <c r="I186">
        <v>0.7</v>
      </c>
      <c r="J186">
        <v>11.1</v>
      </c>
      <c r="K186" s="1">
        <v>4443360</v>
      </c>
      <c r="L186" t="s">
        <v>21</v>
      </c>
    </row>
    <row r="187" spans="1:12">
      <c r="A187" t="s">
        <v>234</v>
      </c>
      <c r="B187" t="s">
        <v>83</v>
      </c>
      <c r="C187" t="s">
        <v>24</v>
      </c>
      <c r="D187" t="s">
        <v>15</v>
      </c>
      <c r="E187">
        <v>26</v>
      </c>
      <c r="F187">
        <v>4</v>
      </c>
      <c r="G187">
        <v>25.3</v>
      </c>
      <c r="H187">
        <v>6.3</v>
      </c>
      <c r="I187">
        <v>3</v>
      </c>
      <c r="J187">
        <v>11</v>
      </c>
      <c r="K187" s="1">
        <v>136717</v>
      </c>
      <c r="L187" t="s">
        <v>21</v>
      </c>
    </row>
    <row r="188" spans="1:12">
      <c r="A188" t="s">
        <v>235</v>
      </c>
      <c r="B188" t="s">
        <v>20</v>
      </c>
      <c r="C188" t="s">
        <v>14</v>
      </c>
      <c r="D188" t="s">
        <v>34</v>
      </c>
      <c r="E188">
        <v>33</v>
      </c>
      <c r="F188">
        <v>76</v>
      </c>
      <c r="G188">
        <v>31.3</v>
      </c>
      <c r="H188">
        <v>11.5</v>
      </c>
      <c r="I188">
        <v>1.7</v>
      </c>
      <c r="J188">
        <v>10.9</v>
      </c>
      <c r="K188" s="1">
        <v>35000000</v>
      </c>
      <c r="L188" t="s">
        <v>16</v>
      </c>
    </row>
    <row r="189" spans="1:12">
      <c r="A189" t="s">
        <v>236</v>
      </c>
      <c r="B189" t="s">
        <v>39</v>
      </c>
      <c r="C189" t="s">
        <v>14</v>
      </c>
      <c r="D189" t="s">
        <v>34</v>
      </c>
      <c r="E189">
        <v>31</v>
      </c>
      <c r="F189">
        <v>41</v>
      </c>
      <c r="G189">
        <v>26.4</v>
      </c>
      <c r="H189">
        <v>10.4</v>
      </c>
      <c r="I189">
        <v>4.8</v>
      </c>
      <c r="J189">
        <v>10.9</v>
      </c>
      <c r="K189" s="1">
        <v>19375000</v>
      </c>
      <c r="L189" t="s">
        <v>16</v>
      </c>
    </row>
    <row r="190" spans="1:12">
      <c r="A190" t="s">
        <v>237</v>
      </c>
      <c r="B190" t="s">
        <v>31</v>
      </c>
      <c r="C190" t="s">
        <v>24</v>
      </c>
      <c r="D190" t="s">
        <v>15</v>
      </c>
      <c r="E190">
        <v>32</v>
      </c>
      <c r="F190">
        <v>70</v>
      </c>
      <c r="G190">
        <v>24.2</v>
      </c>
      <c r="H190">
        <v>2.7</v>
      </c>
      <c r="I190">
        <v>4.9000000000000004</v>
      </c>
      <c r="J190">
        <v>10.8</v>
      </c>
      <c r="K190" s="1">
        <v>14104000</v>
      </c>
      <c r="L190" t="s">
        <v>16</v>
      </c>
    </row>
    <row r="191" spans="1:12">
      <c r="A191" t="s">
        <v>238</v>
      </c>
      <c r="B191" t="s">
        <v>94</v>
      </c>
      <c r="C191" t="s">
        <v>14</v>
      </c>
      <c r="D191" t="s">
        <v>25</v>
      </c>
      <c r="E191">
        <v>25</v>
      </c>
      <c r="F191">
        <v>12</v>
      </c>
      <c r="G191">
        <v>25.6</v>
      </c>
      <c r="H191">
        <v>4.2</v>
      </c>
      <c r="I191">
        <v>1</v>
      </c>
      <c r="J191">
        <v>10.8</v>
      </c>
      <c r="K191" s="1">
        <v>73153</v>
      </c>
      <c r="L191" t="s">
        <v>21</v>
      </c>
    </row>
    <row r="192" spans="1:12">
      <c r="A192" t="s">
        <v>239</v>
      </c>
      <c r="B192" t="s">
        <v>100</v>
      </c>
      <c r="C192" t="s">
        <v>14</v>
      </c>
      <c r="D192" t="s">
        <v>15</v>
      </c>
      <c r="E192">
        <v>27</v>
      </c>
      <c r="F192">
        <v>32</v>
      </c>
      <c r="G192">
        <v>26.4</v>
      </c>
      <c r="H192">
        <v>3</v>
      </c>
      <c r="I192">
        <v>1.3</v>
      </c>
      <c r="J192">
        <v>10.8</v>
      </c>
      <c r="K192" s="1">
        <v>75000</v>
      </c>
      <c r="L192" t="s">
        <v>21</v>
      </c>
    </row>
    <row r="193" spans="1:12">
      <c r="A193" t="s">
        <v>240</v>
      </c>
      <c r="B193" t="s">
        <v>83</v>
      </c>
      <c r="C193" t="s">
        <v>24</v>
      </c>
      <c r="D193" t="s">
        <v>15</v>
      </c>
      <c r="E193">
        <v>20</v>
      </c>
      <c r="F193">
        <v>82</v>
      </c>
      <c r="G193">
        <v>27.7</v>
      </c>
      <c r="H193">
        <v>3.4</v>
      </c>
      <c r="I193">
        <v>4.5999999999999996</v>
      </c>
      <c r="J193">
        <v>10.7</v>
      </c>
      <c r="K193" s="1">
        <v>4677600</v>
      </c>
      <c r="L193" t="s">
        <v>21</v>
      </c>
    </row>
    <row r="194" spans="1:12">
      <c r="A194" t="s">
        <v>241</v>
      </c>
      <c r="B194" t="s">
        <v>70</v>
      </c>
      <c r="C194" t="s">
        <v>24</v>
      </c>
      <c r="D194" t="s">
        <v>34</v>
      </c>
      <c r="E194">
        <v>30</v>
      </c>
      <c r="F194">
        <v>46</v>
      </c>
      <c r="G194">
        <v>25</v>
      </c>
      <c r="H194">
        <v>7</v>
      </c>
      <c r="I194">
        <v>2</v>
      </c>
      <c r="J194">
        <v>10.7</v>
      </c>
      <c r="K194" s="1">
        <v>19500000</v>
      </c>
      <c r="L194" t="s">
        <v>16</v>
      </c>
    </row>
    <row r="195" spans="1:12">
      <c r="A195" t="s">
        <v>242</v>
      </c>
      <c r="B195" t="s">
        <v>63</v>
      </c>
      <c r="C195" t="s">
        <v>24</v>
      </c>
      <c r="D195" t="s">
        <v>34</v>
      </c>
      <c r="E195">
        <v>30</v>
      </c>
      <c r="F195">
        <v>68</v>
      </c>
      <c r="G195">
        <v>22.1</v>
      </c>
      <c r="H195">
        <v>5.7</v>
      </c>
      <c r="I195">
        <v>1.7</v>
      </c>
      <c r="J195">
        <v>10.6</v>
      </c>
      <c r="K195" s="1">
        <v>2461463</v>
      </c>
      <c r="L195" t="s">
        <v>16</v>
      </c>
    </row>
    <row r="196" spans="1:12">
      <c r="A196" t="s">
        <v>243</v>
      </c>
      <c r="B196" t="s">
        <v>75</v>
      </c>
      <c r="C196" t="s">
        <v>14</v>
      </c>
      <c r="D196" t="s">
        <v>25</v>
      </c>
      <c r="E196">
        <v>26</v>
      </c>
      <c r="F196">
        <v>60</v>
      </c>
      <c r="G196">
        <v>20</v>
      </c>
      <c r="H196">
        <v>6.1</v>
      </c>
      <c r="I196">
        <v>1.4</v>
      </c>
      <c r="J196">
        <v>10.5</v>
      </c>
      <c r="K196" s="1">
        <v>3080921</v>
      </c>
      <c r="L196" t="s">
        <v>21</v>
      </c>
    </row>
    <row r="197" spans="1:12">
      <c r="A197" t="s">
        <v>244</v>
      </c>
      <c r="B197" t="s">
        <v>47</v>
      </c>
      <c r="C197" t="s">
        <v>14</v>
      </c>
      <c r="D197" t="s">
        <v>25</v>
      </c>
      <c r="E197">
        <v>24</v>
      </c>
      <c r="F197">
        <v>60</v>
      </c>
      <c r="G197">
        <v>25.8</v>
      </c>
      <c r="H197">
        <v>6.3</v>
      </c>
      <c r="I197">
        <v>1.5</v>
      </c>
      <c r="J197">
        <v>10.5</v>
      </c>
      <c r="K197" s="1">
        <v>5675766</v>
      </c>
      <c r="L197" t="s">
        <v>21</v>
      </c>
    </row>
    <row r="198" spans="1:12">
      <c r="A198" t="s">
        <v>245</v>
      </c>
      <c r="B198" t="s">
        <v>94</v>
      </c>
      <c r="C198" t="s">
        <v>14</v>
      </c>
      <c r="D198" t="s">
        <v>15</v>
      </c>
      <c r="E198">
        <v>22</v>
      </c>
      <c r="F198">
        <v>8</v>
      </c>
      <c r="G198">
        <v>30.1</v>
      </c>
      <c r="H198">
        <v>3.1</v>
      </c>
      <c r="I198">
        <v>2.4</v>
      </c>
      <c r="J198">
        <v>10.4</v>
      </c>
      <c r="K198" s="1">
        <v>636435</v>
      </c>
      <c r="L198" t="s">
        <v>16</v>
      </c>
    </row>
    <row r="199" spans="1:12">
      <c r="A199" t="s">
        <v>246</v>
      </c>
      <c r="B199" t="s">
        <v>36</v>
      </c>
      <c r="C199" t="s">
        <v>24</v>
      </c>
      <c r="D199" t="s">
        <v>15</v>
      </c>
      <c r="E199">
        <v>26</v>
      </c>
      <c r="F199">
        <v>78</v>
      </c>
      <c r="G199">
        <v>29.1</v>
      </c>
      <c r="H199">
        <v>2.7</v>
      </c>
      <c r="I199">
        <v>1.9</v>
      </c>
      <c r="J199">
        <v>10.4</v>
      </c>
      <c r="K199" s="1">
        <v>2301587</v>
      </c>
      <c r="L199" t="s">
        <v>21</v>
      </c>
    </row>
    <row r="200" spans="1:12">
      <c r="A200" t="s">
        <v>247</v>
      </c>
      <c r="B200" t="s">
        <v>52</v>
      </c>
      <c r="C200" t="s">
        <v>14</v>
      </c>
      <c r="D200" t="s">
        <v>15</v>
      </c>
      <c r="E200">
        <v>24</v>
      </c>
      <c r="F200">
        <v>49</v>
      </c>
      <c r="G200">
        <v>20.7</v>
      </c>
      <c r="H200">
        <v>2.2999999999999998</v>
      </c>
      <c r="I200">
        <v>2.5</v>
      </c>
      <c r="J200">
        <v>10.4</v>
      </c>
      <c r="K200" s="1">
        <v>85300</v>
      </c>
      <c r="L200" t="s">
        <v>21</v>
      </c>
    </row>
    <row r="201" spans="1:12">
      <c r="A201" t="s">
        <v>248</v>
      </c>
      <c r="B201" t="s">
        <v>94</v>
      </c>
      <c r="C201" t="s">
        <v>14</v>
      </c>
      <c r="D201" t="s">
        <v>15</v>
      </c>
      <c r="E201">
        <v>27</v>
      </c>
      <c r="F201">
        <v>7</v>
      </c>
      <c r="G201">
        <v>32</v>
      </c>
      <c r="H201">
        <v>5.4</v>
      </c>
      <c r="I201">
        <v>2.6</v>
      </c>
      <c r="J201">
        <v>10.4</v>
      </c>
      <c r="K201" s="1">
        <v>73153</v>
      </c>
      <c r="L201" t="s">
        <v>21</v>
      </c>
    </row>
    <row r="202" spans="1:12">
      <c r="A202" t="s">
        <v>249</v>
      </c>
      <c r="B202" t="s">
        <v>54</v>
      </c>
      <c r="C202" t="s">
        <v>24</v>
      </c>
      <c r="D202" t="s">
        <v>15</v>
      </c>
      <c r="E202">
        <v>19</v>
      </c>
      <c r="F202">
        <v>52</v>
      </c>
      <c r="G202">
        <v>25.2</v>
      </c>
      <c r="H202">
        <v>3.2</v>
      </c>
      <c r="I202">
        <v>3.3</v>
      </c>
      <c r="J202">
        <v>10.3</v>
      </c>
      <c r="K202" s="1">
        <v>6889200</v>
      </c>
      <c r="L202" t="s">
        <v>16</v>
      </c>
    </row>
    <row r="203" spans="1:12">
      <c r="A203" t="s">
        <v>250</v>
      </c>
      <c r="B203" t="s">
        <v>100</v>
      </c>
      <c r="C203" t="s">
        <v>14</v>
      </c>
      <c r="D203" t="s">
        <v>15</v>
      </c>
      <c r="E203">
        <v>28</v>
      </c>
      <c r="F203">
        <v>3</v>
      </c>
      <c r="G203">
        <v>20</v>
      </c>
      <c r="H203">
        <v>1.7</v>
      </c>
      <c r="I203">
        <v>0.3</v>
      </c>
      <c r="J203">
        <v>10.3</v>
      </c>
      <c r="K203" s="1">
        <v>165197</v>
      </c>
      <c r="L203" t="s">
        <v>21</v>
      </c>
    </row>
    <row r="204" spans="1:12">
      <c r="A204" t="s">
        <v>251</v>
      </c>
      <c r="B204" t="s">
        <v>83</v>
      </c>
      <c r="C204" t="s">
        <v>24</v>
      </c>
      <c r="D204" t="s">
        <v>25</v>
      </c>
      <c r="E204">
        <v>19</v>
      </c>
      <c r="F204">
        <v>74</v>
      </c>
      <c r="G204">
        <v>22.1</v>
      </c>
      <c r="H204">
        <v>2.9</v>
      </c>
      <c r="I204">
        <v>2</v>
      </c>
      <c r="J204">
        <v>10.3</v>
      </c>
      <c r="K204" s="1">
        <v>3512520</v>
      </c>
      <c r="L204" t="s">
        <v>16</v>
      </c>
    </row>
    <row r="205" spans="1:12">
      <c r="A205" t="s">
        <v>252</v>
      </c>
      <c r="B205" t="s">
        <v>75</v>
      </c>
      <c r="C205" t="s">
        <v>14</v>
      </c>
      <c r="D205" t="s">
        <v>25</v>
      </c>
      <c r="E205">
        <v>34</v>
      </c>
      <c r="F205">
        <v>63</v>
      </c>
      <c r="G205">
        <v>22.8</v>
      </c>
      <c r="H205">
        <v>3.7</v>
      </c>
      <c r="I205">
        <v>2.8</v>
      </c>
      <c r="J205">
        <v>10.199999999999999</v>
      </c>
      <c r="K205" s="1">
        <v>33296296</v>
      </c>
      <c r="L205" t="s">
        <v>21</v>
      </c>
    </row>
    <row r="206" spans="1:12">
      <c r="A206" t="s">
        <v>253</v>
      </c>
      <c r="B206" t="s">
        <v>23</v>
      </c>
      <c r="C206" t="s">
        <v>24</v>
      </c>
      <c r="D206" t="s">
        <v>34</v>
      </c>
      <c r="E206">
        <v>26</v>
      </c>
      <c r="F206">
        <v>76</v>
      </c>
      <c r="G206">
        <v>25.3</v>
      </c>
      <c r="H206">
        <v>8.4</v>
      </c>
      <c r="I206">
        <v>1.7</v>
      </c>
      <c r="J206">
        <v>10.199999999999999</v>
      </c>
      <c r="K206" s="1">
        <v>2349578</v>
      </c>
      <c r="L206" t="s">
        <v>16</v>
      </c>
    </row>
    <row r="207" spans="1:12">
      <c r="A207" t="s">
        <v>254</v>
      </c>
      <c r="B207" t="s">
        <v>83</v>
      </c>
      <c r="C207" t="s">
        <v>24</v>
      </c>
      <c r="D207" t="s">
        <v>15</v>
      </c>
      <c r="E207">
        <v>29</v>
      </c>
      <c r="F207">
        <v>26</v>
      </c>
      <c r="G207">
        <v>19</v>
      </c>
      <c r="H207">
        <v>2.2999999999999998</v>
      </c>
      <c r="I207">
        <v>4</v>
      </c>
      <c r="J207">
        <v>10.199999999999999</v>
      </c>
      <c r="K207" s="1">
        <v>5685000</v>
      </c>
      <c r="L207" t="s">
        <v>21</v>
      </c>
    </row>
    <row r="208" spans="1:12">
      <c r="A208" t="s">
        <v>255</v>
      </c>
      <c r="B208" t="s">
        <v>122</v>
      </c>
      <c r="C208" t="s">
        <v>24</v>
      </c>
      <c r="D208" t="s">
        <v>34</v>
      </c>
      <c r="E208">
        <v>25</v>
      </c>
      <c r="F208">
        <v>53</v>
      </c>
      <c r="G208">
        <v>20.7</v>
      </c>
      <c r="H208">
        <v>6.7</v>
      </c>
      <c r="I208">
        <v>1.2</v>
      </c>
      <c r="J208">
        <v>10.199999999999999</v>
      </c>
      <c r="K208" s="1">
        <v>9000000</v>
      </c>
      <c r="L208" t="s">
        <v>21</v>
      </c>
    </row>
    <row r="209" spans="1:12">
      <c r="A209" t="s">
        <v>256</v>
      </c>
      <c r="B209" t="s">
        <v>54</v>
      </c>
      <c r="C209" t="s">
        <v>24</v>
      </c>
      <c r="D209" t="s">
        <v>25</v>
      </c>
      <c r="E209">
        <v>24</v>
      </c>
      <c r="F209">
        <v>56</v>
      </c>
      <c r="G209">
        <v>22.9</v>
      </c>
      <c r="H209">
        <v>2.4</v>
      </c>
      <c r="I209">
        <v>1.1000000000000001</v>
      </c>
      <c r="J209">
        <v>10.199999999999999</v>
      </c>
      <c r="K209" s="1">
        <v>6250000</v>
      </c>
      <c r="L209" t="s">
        <v>21</v>
      </c>
    </row>
    <row r="210" spans="1:12">
      <c r="A210" t="s">
        <v>257</v>
      </c>
      <c r="B210" t="s">
        <v>100</v>
      </c>
      <c r="C210" t="s">
        <v>14</v>
      </c>
      <c r="D210" t="s">
        <v>34</v>
      </c>
      <c r="E210">
        <v>26</v>
      </c>
      <c r="F210">
        <v>73</v>
      </c>
      <c r="G210">
        <v>23.9</v>
      </c>
      <c r="H210">
        <v>6.7</v>
      </c>
      <c r="I210">
        <v>1.4</v>
      </c>
      <c r="J210">
        <v>10.1</v>
      </c>
      <c r="K210" s="1">
        <v>2453285</v>
      </c>
      <c r="L210" t="s">
        <v>16</v>
      </c>
    </row>
    <row r="211" spans="1:12">
      <c r="A211" t="s">
        <v>258</v>
      </c>
      <c r="B211" t="s">
        <v>29</v>
      </c>
      <c r="C211" t="s">
        <v>14</v>
      </c>
      <c r="D211" t="s">
        <v>25</v>
      </c>
      <c r="E211">
        <v>28</v>
      </c>
      <c r="F211">
        <v>50</v>
      </c>
      <c r="G211">
        <v>27</v>
      </c>
      <c r="H211">
        <v>3.5</v>
      </c>
      <c r="I211">
        <v>1.4</v>
      </c>
      <c r="J211">
        <v>10.1</v>
      </c>
      <c r="K211" s="1">
        <v>10000000</v>
      </c>
      <c r="L211" t="s">
        <v>21</v>
      </c>
    </row>
    <row r="212" spans="1:12">
      <c r="A212" t="s">
        <v>259</v>
      </c>
      <c r="B212" t="s">
        <v>58</v>
      </c>
      <c r="C212" t="s">
        <v>24</v>
      </c>
      <c r="D212" t="s">
        <v>25</v>
      </c>
      <c r="E212">
        <v>27</v>
      </c>
      <c r="F212">
        <v>69</v>
      </c>
      <c r="G212">
        <v>22.4</v>
      </c>
      <c r="H212">
        <v>3.5</v>
      </c>
      <c r="I212">
        <v>2.6</v>
      </c>
      <c r="J212">
        <v>10</v>
      </c>
      <c r="K212" s="1">
        <v>17991071</v>
      </c>
      <c r="L212" t="s">
        <v>21</v>
      </c>
    </row>
    <row r="213" spans="1:12">
      <c r="A213" t="s">
        <v>260</v>
      </c>
      <c r="B213" t="s">
        <v>29</v>
      </c>
      <c r="C213" t="s">
        <v>14</v>
      </c>
      <c r="D213" t="s">
        <v>25</v>
      </c>
      <c r="E213">
        <v>26</v>
      </c>
      <c r="F213">
        <v>60</v>
      </c>
      <c r="G213">
        <v>22.1</v>
      </c>
      <c r="H213">
        <v>3</v>
      </c>
      <c r="I213">
        <v>2.2999999999999998</v>
      </c>
      <c r="J213">
        <v>10</v>
      </c>
      <c r="K213" s="1">
        <v>712637</v>
      </c>
      <c r="L213" t="s">
        <v>21</v>
      </c>
    </row>
    <row r="214" spans="1:12">
      <c r="A214" t="s">
        <v>261</v>
      </c>
      <c r="B214" t="s">
        <v>94</v>
      </c>
      <c r="C214" t="s">
        <v>14</v>
      </c>
      <c r="D214" t="s">
        <v>15</v>
      </c>
      <c r="E214">
        <v>24</v>
      </c>
      <c r="F214">
        <v>6</v>
      </c>
      <c r="G214">
        <v>36.200000000000003</v>
      </c>
      <c r="H214">
        <v>3.5</v>
      </c>
      <c r="I214">
        <v>1</v>
      </c>
      <c r="J214">
        <v>10</v>
      </c>
      <c r="K214" s="1">
        <v>73153</v>
      </c>
      <c r="L214" t="s">
        <v>21</v>
      </c>
    </row>
    <row r="215" spans="1:12">
      <c r="A215" t="s">
        <v>262</v>
      </c>
      <c r="B215" t="s">
        <v>94</v>
      </c>
      <c r="C215" t="s">
        <v>14</v>
      </c>
      <c r="D215" t="s">
        <v>25</v>
      </c>
      <c r="E215">
        <v>23</v>
      </c>
      <c r="F215">
        <v>53</v>
      </c>
      <c r="G215">
        <v>18.600000000000001</v>
      </c>
      <c r="H215">
        <v>3.5</v>
      </c>
      <c r="I215">
        <v>1</v>
      </c>
      <c r="J215">
        <v>10</v>
      </c>
      <c r="K215" s="1">
        <v>527879</v>
      </c>
      <c r="L215" t="s">
        <v>16</v>
      </c>
    </row>
    <row r="216" spans="1:12">
      <c r="A216" t="s">
        <v>263</v>
      </c>
      <c r="B216" t="s">
        <v>58</v>
      </c>
      <c r="C216" t="s">
        <v>24</v>
      </c>
      <c r="D216" t="s">
        <v>34</v>
      </c>
      <c r="E216">
        <v>24</v>
      </c>
      <c r="F216">
        <v>58</v>
      </c>
      <c r="G216">
        <v>22.7</v>
      </c>
      <c r="H216">
        <v>5</v>
      </c>
      <c r="I216">
        <v>1.1000000000000001</v>
      </c>
      <c r="J216">
        <v>10</v>
      </c>
      <c r="K216" s="1">
        <v>15000000</v>
      </c>
      <c r="L216" t="s">
        <v>21</v>
      </c>
    </row>
    <row r="217" spans="1:12">
      <c r="A217" t="s">
        <v>264</v>
      </c>
      <c r="B217" t="s">
        <v>50</v>
      </c>
      <c r="C217" t="s">
        <v>14</v>
      </c>
      <c r="D217" t="s">
        <v>25</v>
      </c>
      <c r="E217">
        <v>33</v>
      </c>
      <c r="F217">
        <v>77</v>
      </c>
      <c r="G217">
        <v>25.8</v>
      </c>
      <c r="H217">
        <v>2.8</v>
      </c>
      <c r="I217">
        <v>1.9</v>
      </c>
      <c r="J217">
        <v>9.9</v>
      </c>
      <c r="K217" s="1">
        <v>19000000</v>
      </c>
      <c r="L217" t="s">
        <v>21</v>
      </c>
    </row>
    <row r="218" spans="1:12">
      <c r="A218" t="s">
        <v>265</v>
      </c>
      <c r="B218" t="s">
        <v>65</v>
      </c>
      <c r="C218" t="s">
        <v>24</v>
      </c>
      <c r="D218" t="s">
        <v>25</v>
      </c>
      <c r="E218">
        <v>24</v>
      </c>
      <c r="F218">
        <v>77</v>
      </c>
      <c r="G218">
        <v>24.7</v>
      </c>
      <c r="H218">
        <v>3.7</v>
      </c>
      <c r="I218">
        <v>1.6</v>
      </c>
      <c r="J218">
        <v>9.9</v>
      </c>
      <c r="K218" s="1">
        <v>3809520</v>
      </c>
      <c r="L218" t="s">
        <v>16</v>
      </c>
    </row>
    <row r="219" spans="1:12">
      <c r="A219" t="s">
        <v>266</v>
      </c>
      <c r="B219" t="s">
        <v>58</v>
      </c>
      <c r="C219" t="s">
        <v>24</v>
      </c>
      <c r="D219" t="s">
        <v>25</v>
      </c>
      <c r="E219">
        <v>23</v>
      </c>
      <c r="F219">
        <v>73</v>
      </c>
      <c r="G219">
        <v>26</v>
      </c>
      <c r="H219">
        <v>5.7</v>
      </c>
      <c r="I219">
        <v>3.1</v>
      </c>
      <c r="J219">
        <v>9.9</v>
      </c>
      <c r="K219" s="1">
        <v>8775000</v>
      </c>
      <c r="L219" t="s">
        <v>21</v>
      </c>
    </row>
    <row r="220" spans="1:12">
      <c r="A220" t="s">
        <v>267</v>
      </c>
      <c r="B220" t="s">
        <v>43</v>
      </c>
      <c r="C220" t="s">
        <v>14</v>
      </c>
      <c r="D220" t="s">
        <v>25</v>
      </c>
      <c r="E220">
        <v>32</v>
      </c>
      <c r="F220">
        <v>78</v>
      </c>
      <c r="G220">
        <v>28.4</v>
      </c>
      <c r="H220">
        <v>4.8</v>
      </c>
      <c r="I220">
        <v>2.7</v>
      </c>
      <c r="J220">
        <v>9.8000000000000007</v>
      </c>
      <c r="K220" s="1">
        <v>10125000</v>
      </c>
      <c r="L220" t="s">
        <v>21</v>
      </c>
    </row>
    <row r="221" spans="1:12">
      <c r="A221" t="s">
        <v>268</v>
      </c>
      <c r="B221" t="s">
        <v>122</v>
      </c>
      <c r="C221" t="s">
        <v>24</v>
      </c>
      <c r="D221" t="s">
        <v>34</v>
      </c>
      <c r="E221">
        <v>28</v>
      </c>
      <c r="F221">
        <v>10</v>
      </c>
      <c r="G221">
        <v>18.399999999999999</v>
      </c>
      <c r="H221">
        <v>5.6</v>
      </c>
      <c r="I221">
        <v>1.5</v>
      </c>
      <c r="J221">
        <v>9.6999999999999993</v>
      </c>
      <c r="K221" s="1">
        <v>18080496</v>
      </c>
      <c r="L221" t="s">
        <v>21</v>
      </c>
    </row>
    <row r="222" spans="1:12">
      <c r="A222" t="s">
        <v>269</v>
      </c>
      <c r="B222" t="s">
        <v>56</v>
      </c>
      <c r="C222" t="s">
        <v>24</v>
      </c>
      <c r="D222" t="s">
        <v>34</v>
      </c>
      <c r="E222">
        <v>27</v>
      </c>
      <c r="F222">
        <v>47</v>
      </c>
      <c r="G222">
        <v>19.3</v>
      </c>
      <c r="H222">
        <v>5</v>
      </c>
      <c r="I222">
        <v>1.5</v>
      </c>
      <c r="J222">
        <v>9.6999999999999993</v>
      </c>
      <c r="K222" s="1">
        <v>1527805</v>
      </c>
      <c r="L222" t="s">
        <v>21</v>
      </c>
    </row>
    <row r="223" spans="1:12">
      <c r="A223" t="s">
        <v>270</v>
      </c>
      <c r="B223" t="s">
        <v>94</v>
      </c>
      <c r="C223" t="s">
        <v>14</v>
      </c>
      <c r="D223" t="s">
        <v>15</v>
      </c>
      <c r="E223">
        <v>23</v>
      </c>
      <c r="F223">
        <v>41</v>
      </c>
      <c r="G223">
        <v>20.2</v>
      </c>
      <c r="H223">
        <v>3.1</v>
      </c>
      <c r="I223">
        <v>3.7</v>
      </c>
      <c r="J223">
        <v>9.6999999999999993</v>
      </c>
      <c r="K223" s="1">
        <v>636435</v>
      </c>
      <c r="L223" t="s">
        <v>21</v>
      </c>
    </row>
    <row r="224" spans="1:12">
      <c r="A224" t="s">
        <v>271</v>
      </c>
      <c r="B224" t="s">
        <v>63</v>
      </c>
      <c r="C224" t="s">
        <v>24</v>
      </c>
      <c r="D224" t="s">
        <v>25</v>
      </c>
      <c r="E224">
        <v>20</v>
      </c>
      <c r="F224">
        <v>67</v>
      </c>
      <c r="G224">
        <v>22.4</v>
      </c>
      <c r="H224">
        <v>3.8</v>
      </c>
      <c r="I224">
        <v>1.1000000000000001</v>
      </c>
      <c r="J224">
        <v>9.6</v>
      </c>
      <c r="K224" s="1">
        <v>13197720</v>
      </c>
      <c r="L224" t="s">
        <v>16</v>
      </c>
    </row>
    <row r="225" spans="1:12">
      <c r="A225" t="s">
        <v>272</v>
      </c>
      <c r="B225" t="s">
        <v>75</v>
      </c>
      <c r="C225" t="s">
        <v>14</v>
      </c>
      <c r="D225" t="s">
        <v>34</v>
      </c>
      <c r="E225">
        <v>27</v>
      </c>
      <c r="F225">
        <v>55</v>
      </c>
      <c r="G225">
        <v>21.7</v>
      </c>
      <c r="H225">
        <v>6.9</v>
      </c>
      <c r="I225">
        <v>1.1000000000000001</v>
      </c>
      <c r="J225">
        <v>9.5</v>
      </c>
      <c r="K225" s="1">
        <v>14386320</v>
      </c>
      <c r="L225" t="s">
        <v>21</v>
      </c>
    </row>
    <row r="226" spans="1:12">
      <c r="A226" t="s">
        <v>273</v>
      </c>
      <c r="B226" t="s">
        <v>56</v>
      </c>
      <c r="C226" t="s">
        <v>24</v>
      </c>
      <c r="D226" t="s">
        <v>34</v>
      </c>
      <c r="E226">
        <v>27</v>
      </c>
      <c r="F226">
        <v>82</v>
      </c>
      <c r="G226">
        <v>21</v>
      </c>
      <c r="H226">
        <v>4</v>
      </c>
      <c r="I226">
        <v>1.5</v>
      </c>
      <c r="J226">
        <v>9.5</v>
      </c>
      <c r="K226" s="1">
        <v>2349578</v>
      </c>
      <c r="L226" t="s">
        <v>21</v>
      </c>
    </row>
    <row r="227" spans="1:12">
      <c r="A227" t="s">
        <v>274</v>
      </c>
      <c r="B227" t="s">
        <v>56</v>
      </c>
      <c r="C227" t="s">
        <v>24</v>
      </c>
      <c r="D227" t="s">
        <v>15</v>
      </c>
      <c r="E227">
        <v>33</v>
      </c>
      <c r="F227">
        <v>56</v>
      </c>
      <c r="G227">
        <v>17.2</v>
      </c>
      <c r="H227">
        <v>2.2000000000000002</v>
      </c>
      <c r="I227">
        <v>5.0999999999999996</v>
      </c>
      <c r="J227">
        <v>9.4</v>
      </c>
      <c r="K227" s="1">
        <v>10200000</v>
      </c>
      <c r="L227" t="s">
        <v>21</v>
      </c>
    </row>
    <row r="228" spans="1:12">
      <c r="A228" t="s">
        <v>275</v>
      </c>
      <c r="B228" t="s">
        <v>39</v>
      </c>
      <c r="C228" t="s">
        <v>14</v>
      </c>
      <c r="D228" t="s">
        <v>25</v>
      </c>
      <c r="E228">
        <v>28</v>
      </c>
      <c r="F228">
        <v>50</v>
      </c>
      <c r="G228">
        <v>23.1</v>
      </c>
      <c r="H228">
        <v>2.5</v>
      </c>
      <c r="I228">
        <v>1.9</v>
      </c>
      <c r="J228">
        <v>9.4</v>
      </c>
      <c r="K228" s="1">
        <v>3675000</v>
      </c>
      <c r="L228" t="s">
        <v>16</v>
      </c>
    </row>
    <row r="229" spans="1:12">
      <c r="A229" t="s">
        <v>276</v>
      </c>
      <c r="B229" t="s">
        <v>18</v>
      </c>
      <c r="C229" t="s">
        <v>14</v>
      </c>
      <c r="D229" t="s">
        <v>15</v>
      </c>
      <c r="E229">
        <v>27</v>
      </c>
      <c r="F229">
        <v>65</v>
      </c>
      <c r="G229">
        <v>21.8</v>
      </c>
      <c r="H229">
        <v>3.1</v>
      </c>
      <c r="I229">
        <v>1.7</v>
      </c>
      <c r="J229">
        <v>9.4</v>
      </c>
      <c r="K229" s="1">
        <v>9672897</v>
      </c>
      <c r="L229" t="s">
        <v>21</v>
      </c>
    </row>
    <row r="230" spans="1:12">
      <c r="A230" t="s">
        <v>277</v>
      </c>
      <c r="B230" t="s">
        <v>58</v>
      </c>
      <c r="C230" t="s">
        <v>24</v>
      </c>
      <c r="D230" t="s">
        <v>15</v>
      </c>
      <c r="E230">
        <v>24</v>
      </c>
      <c r="F230">
        <v>72</v>
      </c>
      <c r="G230">
        <v>20.2</v>
      </c>
      <c r="H230">
        <v>2.2999999999999998</v>
      </c>
      <c r="I230">
        <v>3.9</v>
      </c>
      <c r="J230">
        <v>9.3000000000000007</v>
      </c>
      <c r="K230" s="1">
        <v>3809524</v>
      </c>
      <c r="L230" t="s">
        <v>21</v>
      </c>
    </row>
    <row r="231" spans="1:12">
      <c r="A231" t="s">
        <v>278</v>
      </c>
      <c r="B231" t="s">
        <v>68</v>
      </c>
      <c r="C231" t="s">
        <v>24</v>
      </c>
      <c r="D231" t="s">
        <v>15</v>
      </c>
      <c r="E231">
        <v>27</v>
      </c>
      <c r="F231">
        <v>70</v>
      </c>
      <c r="G231">
        <v>28.6</v>
      </c>
      <c r="H231">
        <v>2.7</v>
      </c>
      <c r="I231">
        <v>6.5</v>
      </c>
      <c r="J231">
        <v>9.3000000000000007</v>
      </c>
      <c r="K231" s="1">
        <v>11600000</v>
      </c>
      <c r="L231" t="s">
        <v>21</v>
      </c>
    </row>
    <row r="232" spans="1:12">
      <c r="A232" t="s">
        <v>279</v>
      </c>
      <c r="B232" t="s">
        <v>122</v>
      </c>
      <c r="C232" t="s">
        <v>24</v>
      </c>
      <c r="D232" t="s">
        <v>15</v>
      </c>
      <c r="E232">
        <v>25</v>
      </c>
      <c r="F232">
        <v>63</v>
      </c>
      <c r="G232">
        <v>26.9</v>
      </c>
      <c r="H232">
        <v>2.7</v>
      </c>
      <c r="I232">
        <v>1.6</v>
      </c>
      <c r="J232">
        <v>9.3000000000000007</v>
      </c>
      <c r="K232" s="1">
        <v>11000000</v>
      </c>
      <c r="L232" t="s">
        <v>21</v>
      </c>
    </row>
    <row r="233" spans="1:12">
      <c r="A233" t="s">
        <v>280</v>
      </c>
      <c r="B233" t="s">
        <v>45</v>
      </c>
      <c r="C233" t="s">
        <v>24</v>
      </c>
      <c r="D233" t="s">
        <v>15</v>
      </c>
      <c r="E233">
        <v>28</v>
      </c>
      <c r="F233">
        <v>51</v>
      </c>
      <c r="G233">
        <v>23</v>
      </c>
      <c r="H233">
        <v>1.8</v>
      </c>
      <c r="I233">
        <v>1.4</v>
      </c>
      <c r="J233">
        <v>9.3000000000000007</v>
      </c>
      <c r="K233" s="1">
        <v>3080921</v>
      </c>
      <c r="L233" t="s">
        <v>21</v>
      </c>
    </row>
    <row r="234" spans="1:12">
      <c r="A234" t="s">
        <v>281</v>
      </c>
      <c r="B234" t="s">
        <v>13</v>
      </c>
      <c r="C234" t="s">
        <v>14</v>
      </c>
      <c r="D234" t="s">
        <v>15</v>
      </c>
      <c r="E234">
        <v>31</v>
      </c>
      <c r="F234">
        <v>62</v>
      </c>
      <c r="G234">
        <v>28.5</v>
      </c>
      <c r="H234">
        <v>2.8</v>
      </c>
      <c r="I234">
        <v>3</v>
      </c>
      <c r="J234">
        <v>9.3000000000000007</v>
      </c>
      <c r="K234" s="1">
        <v>5134000</v>
      </c>
      <c r="L234" t="s">
        <v>21</v>
      </c>
    </row>
    <row r="235" spans="1:12">
      <c r="A235" t="s">
        <v>282</v>
      </c>
      <c r="B235" t="s">
        <v>83</v>
      </c>
      <c r="C235" t="s">
        <v>24</v>
      </c>
      <c r="D235" t="s">
        <v>15</v>
      </c>
      <c r="E235">
        <v>23</v>
      </c>
      <c r="F235">
        <v>57</v>
      </c>
      <c r="G235">
        <v>15.8</v>
      </c>
      <c r="H235">
        <v>1.5</v>
      </c>
      <c r="I235">
        <v>1</v>
      </c>
      <c r="J235">
        <v>9.1999999999999993</v>
      </c>
      <c r="K235" s="1">
        <v>6000000</v>
      </c>
      <c r="L235" t="s">
        <v>21</v>
      </c>
    </row>
    <row r="236" spans="1:12">
      <c r="A236" t="s">
        <v>283</v>
      </c>
      <c r="B236" t="s">
        <v>18</v>
      </c>
      <c r="C236" t="s">
        <v>14</v>
      </c>
      <c r="D236" t="s">
        <v>34</v>
      </c>
      <c r="E236">
        <v>27</v>
      </c>
      <c r="F236">
        <v>47</v>
      </c>
      <c r="G236">
        <v>24.2</v>
      </c>
      <c r="H236">
        <v>9.4</v>
      </c>
      <c r="I236">
        <v>3.5</v>
      </c>
      <c r="J236">
        <v>9.1999999999999993</v>
      </c>
      <c r="K236" s="1">
        <v>28500000</v>
      </c>
      <c r="L236" t="s">
        <v>16</v>
      </c>
    </row>
    <row r="237" spans="1:12">
      <c r="A237" t="s">
        <v>284</v>
      </c>
      <c r="B237" t="s">
        <v>23</v>
      </c>
      <c r="C237" t="s">
        <v>24</v>
      </c>
      <c r="D237" t="s">
        <v>25</v>
      </c>
      <c r="E237">
        <v>28</v>
      </c>
      <c r="F237">
        <v>78</v>
      </c>
      <c r="G237">
        <v>24.8</v>
      </c>
      <c r="H237">
        <v>3.8</v>
      </c>
      <c r="I237">
        <v>1.5</v>
      </c>
      <c r="J237">
        <v>9.1999999999999993</v>
      </c>
      <c r="K237" s="1">
        <v>10044644</v>
      </c>
      <c r="L237" t="s">
        <v>21</v>
      </c>
    </row>
    <row r="238" spans="1:12">
      <c r="A238" t="s">
        <v>285</v>
      </c>
      <c r="B238" t="s">
        <v>63</v>
      </c>
      <c r="C238" t="s">
        <v>24</v>
      </c>
      <c r="D238" t="s">
        <v>25</v>
      </c>
      <c r="E238">
        <v>26</v>
      </c>
      <c r="F238">
        <v>58</v>
      </c>
      <c r="G238">
        <v>18.600000000000001</v>
      </c>
      <c r="H238">
        <v>2.2999999999999998</v>
      </c>
      <c r="I238">
        <v>1.6</v>
      </c>
      <c r="J238">
        <v>9.1999999999999993</v>
      </c>
      <c r="K238" s="1">
        <v>13975000</v>
      </c>
      <c r="L238" t="s">
        <v>21</v>
      </c>
    </row>
    <row r="239" spans="1:12">
      <c r="A239" t="s">
        <v>286</v>
      </c>
      <c r="B239" t="s">
        <v>36</v>
      </c>
      <c r="C239" t="s">
        <v>24</v>
      </c>
      <c r="D239" t="s">
        <v>25</v>
      </c>
      <c r="E239">
        <v>31</v>
      </c>
      <c r="F239">
        <v>26</v>
      </c>
      <c r="G239">
        <v>23.5</v>
      </c>
      <c r="H239">
        <v>3.1</v>
      </c>
      <c r="I239">
        <v>1.8</v>
      </c>
      <c r="J239">
        <v>9.1999999999999993</v>
      </c>
      <c r="K239" s="1">
        <v>3303774</v>
      </c>
      <c r="L239" t="s">
        <v>21</v>
      </c>
    </row>
    <row r="240" spans="1:12">
      <c r="A240" t="s">
        <v>287</v>
      </c>
      <c r="B240" t="s">
        <v>41</v>
      </c>
      <c r="C240" t="s">
        <v>14</v>
      </c>
      <c r="D240" t="s">
        <v>25</v>
      </c>
      <c r="E240">
        <v>23</v>
      </c>
      <c r="F240">
        <v>68</v>
      </c>
      <c r="G240">
        <v>20.5</v>
      </c>
      <c r="H240">
        <v>3.9</v>
      </c>
      <c r="I240">
        <v>2.2999999999999998</v>
      </c>
      <c r="J240">
        <v>9.1999999999999993</v>
      </c>
      <c r="K240" s="1">
        <v>2221677</v>
      </c>
      <c r="L240" t="s">
        <v>16</v>
      </c>
    </row>
    <row r="241" spans="1:12">
      <c r="A241" t="s">
        <v>288</v>
      </c>
      <c r="B241" t="s">
        <v>83</v>
      </c>
      <c r="C241" t="s">
        <v>24</v>
      </c>
      <c r="D241" t="s">
        <v>25</v>
      </c>
      <c r="E241">
        <v>21</v>
      </c>
      <c r="F241">
        <v>21</v>
      </c>
      <c r="G241">
        <v>16.899999999999999</v>
      </c>
      <c r="H241">
        <v>2.8</v>
      </c>
      <c r="I241">
        <v>0.7</v>
      </c>
      <c r="J241">
        <v>9.1999999999999993</v>
      </c>
      <c r="K241" s="1">
        <v>3539760</v>
      </c>
      <c r="L241" t="s">
        <v>21</v>
      </c>
    </row>
    <row r="242" spans="1:12">
      <c r="A242" t="s">
        <v>289</v>
      </c>
      <c r="B242" t="s">
        <v>56</v>
      </c>
      <c r="C242" t="s">
        <v>24</v>
      </c>
      <c r="D242" t="s">
        <v>15</v>
      </c>
      <c r="E242">
        <v>27</v>
      </c>
      <c r="F242">
        <v>49</v>
      </c>
      <c r="G242">
        <v>18.3</v>
      </c>
      <c r="H242">
        <v>2.2999999999999998</v>
      </c>
      <c r="I242">
        <v>2.9</v>
      </c>
      <c r="J242">
        <v>9.1</v>
      </c>
      <c r="K242" s="1">
        <v>601553</v>
      </c>
      <c r="L242" t="s">
        <v>21</v>
      </c>
    </row>
    <row r="243" spans="1:12">
      <c r="A243" t="s">
        <v>290</v>
      </c>
      <c r="B243" t="s">
        <v>83</v>
      </c>
      <c r="C243" t="s">
        <v>24</v>
      </c>
      <c r="D243" t="s">
        <v>34</v>
      </c>
      <c r="E243">
        <v>22</v>
      </c>
      <c r="F243">
        <v>49</v>
      </c>
      <c r="G243">
        <v>13.7</v>
      </c>
      <c r="H243">
        <v>3</v>
      </c>
      <c r="I243">
        <v>1.1000000000000001</v>
      </c>
      <c r="J243">
        <v>9</v>
      </c>
      <c r="K243" s="1">
        <v>2857143</v>
      </c>
      <c r="L243" t="s">
        <v>16</v>
      </c>
    </row>
    <row r="244" spans="1:12">
      <c r="A244" t="s">
        <v>291</v>
      </c>
      <c r="B244" t="s">
        <v>100</v>
      </c>
      <c r="C244" t="s">
        <v>14</v>
      </c>
      <c r="D244" t="s">
        <v>15</v>
      </c>
      <c r="E244">
        <v>23</v>
      </c>
      <c r="F244">
        <v>38</v>
      </c>
      <c r="G244">
        <v>18.399999999999999</v>
      </c>
      <c r="H244">
        <v>3.3</v>
      </c>
      <c r="I244">
        <v>2.7</v>
      </c>
      <c r="J244">
        <v>8.9</v>
      </c>
      <c r="K244" s="1">
        <v>4923720</v>
      </c>
      <c r="L244" t="s">
        <v>21</v>
      </c>
    </row>
    <row r="245" spans="1:12">
      <c r="A245" t="s">
        <v>292</v>
      </c>
      <c r="B245" t="s">
        <v>72</v>
      </c>
      <c r="C245" t="s">
        <v>14</v>
      </c>
      <c r="D245" t="s">
        <v>25</v>
      </c>
      <c r="E245">
        <v>27</v>
      </c>
      <c r="F245">
        <v>56</v>
      </c>
      <c r="G245">
        <v>28.4</v>
      </c>
      <c r="H245">
        <v>3.4</v>
      </c>
      <c r="I245">
        <v>2.8</v>
      </c>
      <c r="J245">
        <v>8.9</v>
      </c>
      <c r="K245" s="1">
        <v>13937574</v>
      </c>
      <c r="L245" t="s">
        <v>21</v>
      </c>
    </row>
    <row r="246" spans="1:12">
      <c r="A246" t="s">
        <v>293</v>
      </c>
      <c r="B246" t="s">
        <v>54</v>
      </c>
      <c r="C246" t="s">
        <v>24</v>
      </c>
      <c r="D246" t="s">
        <v>15</v>
      </c>
      <c r="E246">
        <v>19</v>
      </c>
      <c r="F246">
        <v>56</v>
      </c>
      <c r="G246">
        <v>22.2</v>
      </c>
      <c r="H246">
        <v>1.8</v>
      </c>
      <c r="I246">
        <v>3.8</v>
      </c>
      <c r="J246">
        <v>8.9</v>
      </c>
      <c r="K246" s="1">
        <v>3811560</v>
      </c>
      <c r="L246" t="s">
        <v>16</v>
      </c>
    </row>
    <row r="247" spans="1:12">
      <c r="A247" t="s">
        <v>294</v>
      </c>
      <c r="B247" t="s">
        <v>54</v>
      </c>
      <c r="C247" t="s">
        <v>24</v>
      </c>
      <c r="D247" t="s">
        <v>25</v>
      </c>
      <c r="E247">
        <v>21</v>
      </c>
      <c r="F247">
        <v>57</v>
      </c>
      <c r="G247">
        <v>20.8</v>
      </c>
      <c r="H247">
        <v>4.9000000000000004</v>
      </c>
      <c r="I247">
        <v>2.2000000000000002</v>
      </c>
      <c r="J247">
        <v>8.9</v>
      </c>
      <c r="K247" s="1">
        <v>2801280</v>
      </c>
      <c r="L247" t="s">
        <v>21</v>
      </c>
    </row>
    <row r="248" spans="1:12">
      <c r="A248" t="s">
        <v>295</v>
      </c>
      <c r="B248" t="s">
        <v>75</v>
      </c>
      <c r="C248" t="s">
        <v>14</v>
      </c>
      <c r="D248" t="s">
        <v>15</v>
      </c>
      <c r="E248">
        <v>22</v>
      </c>
      <c r="F248">
        <v>13</v>
      </c>
      <c r="G248">
        <v>19.5</v>
      </c>
      <c r="H248">
        <v>2.2999999999999998</v>
      </c>
      <c r="I248">
        <v>0.8</v>
      </c>
      <c r="J248">
        <v>8.8000000000000007</v>
      </c>
      <c r="K248" s="1">
        <v>157280</v>
      </c>
      <c r="L248" t="s">
        <v>21</v>
      </c>
    </row>
    <row r="249" spans="1:12">
      <c r="A249" t="s">
        <v>296</v>
      </c>
      <c r="B249" t="s">
        <v>18</v>
      </c>
      <c r="C249" t="s">
        <v>14</v>
      </c>
      <c r="D249" t="s">
        <v>25</v>
      </c>
      <c r="E249">
        <v>23</v>
      </c>
      <c r="F249">
        <v>4</v>
      </c>
      <c r="G249">
        <v>15.8</v>
      </c>
      <c r="H249">
        <v>2.5</v>
      </c>
      <c r="I249">
        <v>0</v>
      </c>
      <c r="J249">
        <v>8.8000000000000007</v>
      </c>
      <c r="K249" s="1">
        <v>153622</v>
      </c>
      <c r="L249" t="s">
        <v>21</v>
      </c>
    </row>
    <row r="250" spans="1:12">
      <c r="A250" t="s">
        <v>297</v>
      </c>
      <c r="B250" t="s">
        <v>39</v>
      </c>
      <c r="C250" t="s">
        <v>14</v>
      </c>
      <c r="D250" t="s">
        <v>15</v>
      </c>
      <c r="E250">
        <v>21</v>
      </c>
      <c r="F250">
        <v>67</v>
      </c>
      <c r="G250">
        <v>24.3</v>
      </c>
      <c r="H250">
        <v>3</v>
      </c>
      <c r="I250">
        <v>2</v>
      </c>
      <c r="J250">
        <v>8.8000000000000007</v>
      </c>
      <c r="K250" s="1">
        <v>5742480</v>
      </c>
      <c r="L250" t="s">
        <v>21</v>
      </c>
    </row>
    <row r="251" spans="1:12">
      <c r="A251" t="s">
        <v>298</v>
      </c>
      <c r="B251" t="s">
        <v>83</v>
      </c>
      <c r="C251" t="s">
        <v>24</v>
      </c>
      <c r="D251" t="s">
        <v>25</v>
      </c>
      <c r="E251">
        <v>24</v>
      </c>
      <c r="F251">
        <v>69</v>
      </c>
      <c r="G251">
        <v>20</v>
      </c>
      <c r="H251">
        <v>5.6</v>
      </c>
      <c r="I251">
        <v>1.2</v>
      </c>
      <c r="J251">
        <v>8.6999999999999993</v>
      </c>
      <c r="K251" s="1">
        <v>2349578</v>
      </c>
      <c r="L251" t="s">
        <v>21</v>
      </c>
    </row>
    <row r="252" spans="1:12">
      <c r="A252" t="s">
        <v>299</v>
      </c>
      <c r="B252" t="s">
        <v>43</v>
      </c>
      <c r="C252" t="s">
        <v>14</v>
      </c>
      <c r="D252" t="s">
        <v>15</v>
      </c>
      <c r="E252">
        <v>27</v>
      </c>
      <c r="F252">
        <v>70</v>
      </c>
      <c r="G252">
        <v>22.5</v>
      </c>
      <c r="H252">
        <v>4.9000000000000004</v>
      </c>
      <c r="I252">
        <v>2.2000000000000002</v>
      </c>
      <c r="J252">
        <v>8.6999999999999993</v>
      </c>
      <c r="K252" s="1">
        <v>2349578</v>
      </c>
      <c r="L252" t="s">
        <v>21</v>
      </c>
    </row>
    <row r="253" spans="1:12">
      <c r="A253" t="s">
        <v>300</v>
      </c>
      <c r="B253" t="s">
        <v>54</v>
      </c>
      <c r="C253" t="s">
        <v>24</v>
      </c>
      <c r="D253" t="s">
        <v>34</v>
      </c>
      <c r="E253">
        <v>24</v>
      </c>
      <c r="F253">
        <v>62</v>
      </c>
      <c r="G253">
        <v>18.7</v>
      </c>
      <c r="H253">
        <v>6.7</v>
      </c>
      <c r="I253">
        <v>2.2999999999999998</v>
      </c>
      <c r="J253">
        <v>8.6999999999999993</v>
      </c>
      <c r="K253" s="1">
        <v>6250000</v>
      </c>
      <c r="L253" t="s">
        <v>21</v>
      </c>
    </row>
    <row r="254" spans="1:12">
      <c r="A254" t="s">
        <v>301</v>
      </c>
      <c r="B254" t="s">
        <v>33</v>
      </c>
      <c r="C254" t="s">
        <v>14</v>
      </c>
      <c r="D254" t="s">
        <v>34</v>
      </c>
      <c r="E254">
        <v>33</v>
      </c>
      <c r="F254">
        <v>65</v>
      </c>
      <c r="G254">
        <v>13.4</v>
      </c>
      <c r="H254">
        <v>5.0999999999999996</v>
      </c>
      <c r="I254">
        <v>1.2</v>
      </c>
      <c r="J254">
        <v>8.6999999999999993</v>
      </c>
      <c r="K254" s="1">
        <v>10395000</v>
      </c>
      <c r="L254" t="s">
        <v>16</v>
      </c>
    </row>
    <row r="255" spans="1:12">
      <c r="A255" t="s">
        <v>302</v>
      </c>
      <c r="B255" t="s">
        <v>45</v>
      </c>
      <c r="C255" t="s">
        <v>24</v>
      </c>
      <c r="D255" t="s">
        <v>15</v>
      </c>
      <c r="E255">
        <v>33</v>
      </c>
      <c r="F255">
        <v>72</v>
      </c>
      <c r="G255">
        <v>17.8</v>
      </c>
      <c r="H255">
        <v>1.8</v>
      </c>
      <c r="I255">
        <v>1.3</v>
      </c>
      <c r="J255">
        <v>8.6</v>
      </c>
      <c r="K255" s="1">
        <v>3634153</v>
      </c>
      <c r="L255" t="s">
        <v>21</v>
      </c>
    </row>
    <row r="256" spans="1:12">
      <c r="A256" t="s">
        <v>303</v>
      </c>
      <c r="B256" t="s">
        <v>100</v>
      </c>
      <c r="C256" t="s">
        <v>14</v>
      </c>
      <c r="D256" t="s">
        <v>15</v>
      </c>
      <c r="E256">
        <v>23</v>
      </c>
      <c r="F256">
        <v>75</v>
      </c>
      <c r="G256">
        <v>25.1</v>
      </c>
      <c r="H256">
        <v>3.8</v>
      </c>
      <c r="I256">
        <v>2.4</v>
      </c>
      <c r="J256">
        <v>8.6</v>
      </c>
      <c r="K256" s="1">
        <v>3108120</v>
      </c>
      <c r="L256" t="s">
        <v>21</v>
      </c>
    </row>
    <row r="257" spans="1:12">
      <c r="A257" t="s">
        <v>304</v>
      </c>
      <c r="B257" t="s">
        <v>18</v>
      </c>
      <c r="C257" t="s">
        <v>14</v>
      </c>
      <c r="D257" t="s">
        <v>15</v>
      </c>
      <c r="E257">
        <v>22</v>
      </c>
      <c r="F257">
        <v>77</v>
      </c>
      <c r="G257">
        <v>26.6</v>
      </c>
      <c r="H257">
        <v>3.1</v>
      </c>
      <c r="I257">
        <v>2.6</v>
      </c>
      <c r="J257">
        <v>8.6</v>
      </c>
      <c r="K257" s="1">
        <v>5820240</v>
      </c>
      <c r="L257" t="s">
        <v>21</v>
      </c>
    </row>
    <row r="258" spans="1:12">
      <c r="A258" t="s">
        <v>305</v>
      </c>
      <c r="B258" t="s">
        <v>52</v>
      </c>
      <c r="C258" t="s">
        <v>14</v>
      </c>
      <c r="D258" t="s">
        <v>15</v>
      </c>
      <c r="E258">
        <v>25</v>
      </c>
      <c r="F258">
        <v>65</v>
      </c>
      <c r="G258">
        <v>21.4</v>
      </c>
      <c r="H258">
        <v>2.2999999999999998</v>
      </c>
      <c r="I258">
        <v>1.5</v>
      </c>
      <c r="J258">
        <v>8.5</v>
      </c>
      <c r="K258" s="1">
        <v>2349578</v>
      </c>
      <c r="L258" t="s">
        <v>16</v>
      </c>
    </row>
    <row r="259" spans="1:12">
      <c r="A259" t="s">
        <v>306</v>
      </c>
      <c r="B259" t="s">
        <v>68</v>
      </c>
      <c r="C259" t="s">
        <v>24</v>
      </c>
      <c r="D259" t="s">
        <v>25</v>
      </c>
      <c r="E259">
        <v>30</v>
      </c>
      <c r="F259">
        <v>70</v>
      </c>
      <c r="G259">
        <v>16.8</v>
      </c>
      <c r="H259">
        <v>3</v>
      </c>
      <c r="I259">
        <v>1.4</v>
      </c>
      <c r="J259">
        <v>8.5</v>
      </c>
      <c r="K259" s="1">
        <v>8307692</v>
      </c>
      <c r="L259" t="s">
        <v>16</v>
      </c>
    </row>
    <row r="260" spans="1:12">
      <c r="A260" t="s">
        <v>307</v>
      </c>
      <c r="B260" t="s">
        <v>20</v>
      </c>
      <c r="C260" t="s">
        <v>14</v>
      </c>
      <c r="D260" t="s">
        <v>15</v>
      </c>
      <c r="E260">
        <v>25</v>
      </c>
      <c r="F260">
        <v>71</v>
      </c>
      <c r="G260">
        <v>16.600000000000001</v>
      </c>
      <c r="H260">
        <v>1.8</v>
      </c>
      <c r="I260">
        <v>2.6</v>
      </c>
      <c r="J260">
        <v>8.5</v>
      </c>
      <c r="K260" s="1">
        <v>2461463</v>
      </c>
      <c r="L260" t="s">
        <v>21</v>
      </c>
    </row>
    <row r="261" spans="1:12">
      <c r="A261" t="s">
        <v>308</v>
      </c>
      <c r="B261" t="s">
        <v>29</v>
      </c>
      <c r="C261" t="s">
        <v>14</v>
      </c>
      <c r="D261" t="s">
        <v>34</v>
      </c>
      <c r="E261">
        <v>37</v>
      </c>
      <c r="F261">
        <v>75</v>
      </c>
      <c r="G261">
        <v>21.8</v>
      </c>
      <c r="H261">
        <v>3.6</v>
      </c>
      <c r="I261">
        <v>1.3</v>
      </c>
      <c r="J261">
        <v>8.5</v>
      </c>
      <c r="K261" s="1">
        <v>8750000</v>
      </c>
      <c r="L261" t="s">
        <v>21</v>
      </c>
    </row>
    <row r="262" spans="1:12">
      <c r="A262" t="s">
        <v>309</v>
      </c>
      <c r="B262" t="s">
        <v>70</v>
      </c>
      <c r="C262" t="s">
        <v>24</v>
      </c>
      <c r="D262" t="s">
        <v>25</v>
      </c>
      <c r="E262">
        <v>20</v>
      </c>
      <c r="F262">
        <v>57</v>
      </c>
      <c r="G262">
        <v>21.9</v>
      </c>
      <c r="H262">
        <v>5</v>
      </c>
      <c r="I262">
        <v>1.9</v>
      </c>
      <c r="J262">
        <v>8.5</v>
      </c>
      <c r="K262" s="1">
        <v>6332520</v>
      </c>
      <c r="L262" t="s">
        <v>21</v>
      </c>
    </row>
    <row r="263" spans="1:12">
      <c r="A263" t="s">
        <v>310</v>
      </c>
      <c r="B263" t="s">
        <v>13</v>
      </c>
      <c r="C263" t="s">
        <v>14</v>
      </c>
      <c r="D263" t="s">
        <v>15</v>
      </c>
      <c r="E263">
        <v>29</v>
      </c>
      <c r="F263">
        <v>78</v>
      </c>
      <c r="G263">
        <v>21.6</v>
      </c>
      <c r="H263">
        <v>2.2999999999999998</v>
      </c>
      <c r="I263">
        <v>2.2000000000000002</v>
      </c>
      <c r="J263">
        <v>8.4</v>
      </c>
      <c r="K263" s="1">
        <v>11000000</v>
      </c>
      <c r="L263" t="s">
        <v>21</v>
      </c>
    </row>
    <row r="264" spans="1:12">
      <c r="A264" t="s">
        <v>311</v>
      </c>
      <c r="B264" t="s">
        <v>94</v>
      </c>
      <c r="C264" t="s">
        <v>14</v>
      </c>
      <c r="D264" t="s">
        <v>15</v>
      </c>
      <c r="E264">
        <v>32</v>
      </c>
      <c r="F264">
        <v>51</v>
      </c>
      <c r="G264">
        <v>21.3</v>
      </c>
      <c r="H264">
        <v>2.5</v>
      </c>
      <c r="I264">
        <v>2.7</v>
      </c>
      <c r="J264">
        <v>8.4</v>
      </c>
      <c r="K264" s="1">
        <v>21621500</v>
      </c>
      <c r="L264" t="s">
        <v>21</v>
      </c>
    </row>
    <row r="265" spans="1:12">
      <c r="A265" t="s">
        <v>312</v>
      </c>
      <c r="B265" t="s">
        <v>41</v>
      </c>
      <c r="C265" t="s">
        <v>14</v>
      </c>
      <c r="D265" t="s">
        <v>25</v>
      </c>
      <c r="E265">
        <v>35</v>
      </c>
      <c r="F265">
        <v>68</v>
      </c>
      <c r="G265">
        <v>27.5</v>
      </c>
      <c r="H265">
        <v>5.5</v>
      </c>
      <c r="I265">
        <v>5.5</v>
      </c>
      <c r="J265">
        <v>8.4</v>
      </c>
      <c r="K265" s="1">
        <v>25892857</v>
      </c>
      <c r="L265" t="s">
        <v>21</v>
      </c>
    </row>
    <row r="266" spans="1:12">
      <c r="A266" t="s">
        <v>313</v>
      </c>
      <c r="B266" t="s">
        <v>18</v>
      </c>
      <c r="C266" t="s">
        <v>14</v>
      </c>
      <c r="D266" t="s">
        <v>15</v>
      </c>
      <c r="E266">
        <v>21</v>
      </c>
      <c r="F266">
        <v>67</v>
      </c>
      <c r="G266">
        <v>17.3</v>
      </c>
      <c r="H266">
        <v>2</v>
      </c>
      <c r="I266">
        <v>1.3</v>
      </c>
      <c r="J266">
        <v>8.3000000000000007</v>
      </c>
      <c r="K266" s="1">
        <v>4221360</v>
      </c>
      <c r="L266" t="s">
        <v>21</v>
      </c>
    </row>
    <row r="267" spans="1:12">
      <c r="A267" t="s">
        <v>314</v>
      </c>
      <c r="B267" t="s">
        <v>18</v>
      </c>
      <c r="C267" t="s">
        <v>14</v>
      </c>
      <c r="D267" t="s">
        <v>25</v>
      </c>
      <c r="E267">
        <v>26</v>
      </c>
      <c r="F267">
        <v>69</v>
      </c>
      <c r="G267">
        <v>26.8</v>
      </c>
      <c r="H267">
        <v>3.6</v>
      </c>
      <c r="I267">
        <v>1.2</v>
      </c>
      <c r="J267">
        <v>8.3000000000000007</v>
      </c>
      <c r="K267" s="1">
        <v>17722222</v>
      </c>
      <c r="L267" t="s">
        <v>16</v>
      </c>
    </row>
    <row r="268" spans="1:12">
      <c r="A268" t="s">
        <v>315</v>
      </c>
      <c r="B268" t="s">
        <v>41</v>
      </c>
      <c r="C268" t="s">
        <v>14</v>
      </c>
      <c r="D268" t="s">
        <v>34</v>
      </c>
      <c r="E268">
        <v>39</v>
      </c>
      <c r="F268">
        <v>45</v>
      </c>
      <c r="G268">
        <v>21.5</v>
      </c>
      <c r="H268">
        <v>4.9000000000000004</v>
      </c>
      <c r="I268">
        <v>2.6</v>
      </c>
      <c r="J268">
        <v>8.3000000000000007</v>
      </c>
      <c r="K268" s="1">
        <v>5685000</v>
      </c>
      <c r="L268" t="s">
        <v>16</v>
      </c>
    </row>
    <row r="269" spans="1:12">
      <c r="A269" t="s">
        <v>316</v>
      </c>
      <c r="B269" t="s">
        <v>72</v>
      </c>
      <c r="C269" t="s">
        <v>14</v>
      </c>
      <c r="D269" t="s">
        <v>25</v>
      </c>
      <c r="E269">
        <v>25</v>
      </c>
      <c r="F269">
        <v>3</v>
      </c>
      <c r="G269">
        <v>27.3</v>
      </c>
      <c r="H269">
        <v>7.7</v>
      </c>
      <c r="I269">
        <v>1.3</v>
      </c>
      <c r="J269">
        <v>8.3000000000000007</v>
      </c>
      <c r="K269" s="1">
        <v>146307</v>
      </c>
      <c r="L269" t="s">
        <v>21</v>
      </c>
    </row>
    <row r="270" spans="1:12">
      <c r="A270" t="s">
        <v>317</v>
      </c>
      <c r="B270" t="s">
        <v>83</v>
      </c>
      <c r="C270" t="s">
        <v>24</v>
      </c>
      <c r="D270" t="s">
        <v>15</v>
      </c>
      <c r="E270">
        <v>24</v>
      </c>
      <c r="F270">
        <v>3</v>
      </c>
      <c r="G270">
        <v>22.3</v>
      </c>
      <c r="H270">
        <v>3.3</v>
      </c>
      <c r="I270">
        <v>2.7</v>
      </c>
      <c r="J270">
        <v>8.3000000000000007</v>
      </c>
      <c r="K270" s="1">
        <v>73153</v>
      </c>
      <c r="L270" t="s">
        <v>21</v>
      </c>
    </row>
    <row r="271" spans="1:12">
      <c r="A271" t="s">
        <v>318</v>
      </c>
      <c r="B271" t="s">
        <v>54</v>
      </c>
      <c r="C271" t="s">
        <v>24</v>
      </c>
      <c r="D271" t="s">
        <v>15</v>
      </c>
      <c r="E271">
        <v>26</v>
      </c>
      <c r="F271">
        <v>15</v>
      </c>
      <c r="G271">
        <v>23.9</v>
      </c>
      <c r="H271">
        <v>3.4</v>
      </c>
      <c r="I271">
        <v>3.3</v>
      </c>
      <c r="J271">
        <v>8.3000000000000007</v>
      </c>
      <c r="K271" s="1">
        <v>65838</v>
      </c>
      <c r="L271" t="s">
        <v>21</v>
      </c>
    </row>
    <row r="272" spans="1:12">
      <c r="A272" t="s">
        <v>319</v>
      </c>
      <c r="B272" t="s">
        <v>29</v>
      </c>
      <c r="C272" t="s">
        <v>14</v>
      </c>
      <c r="D272" t="s">
        <v>15</v>
      </c>
      <c r="E272">
        <v>32</v>
      </c>
      <c r="F272">
        <v>6</v>
      </c>
      <c r="G272">
        <v>20.2</v>
      </c>
      <c r="H272">
        <v>0.8</v>
      </c>
      <c r="I272">
        <v>1.7</v>
      </c>
      <c r="J272">
        <v>8.1999999999999993</v>
      </c>
      <c r="K272" s="1">
        <v>5354000</v>
      </c>
      <c r="L272" t="s">
        <v>21</v>
      </c>
    </row>
    <row r="273" spans="1:12">
      <c r="A273" t="s">
        <v>320</v>
      </c>
      <c r="B273" t="s">
        <v>41</v>
      </c>
      <c r="C273" t="s">
        <v>14</v>
      </c>
      <c r="D273" t="s">
        <v>15</v>
      </c>
      <c r="E273">
        <v>24</v>
      </c>
      <c r="F273">
        <v>18</v>
      </c>
      <c r="G273">
        <v>16.2</v>
      </c>
      <c r="H273">
        <v>1.6</v>
      </c>
      <c r="I273">
        <v>1</v>
      </c>
      <c r="J273">
        <v>8.1999999999999993</v>
      </c>
      <c r="K273" s="1">
        <v>85300</v>
      </c>
      <c r="L273" t="s">
        <v>21</v>
      </c>
    </row>
    <row r="274" spans="1:12">
      <c r="A274" t="s">
        <v>321</v>
      </c>
      <c r="B274" t="s">
        <v>58</v>
      </c>
      <c r="C274" t="s">
        <v>24</v>
      </c>
      <c r="D274" t="s">
        <v>25</v>
      </c>
      <c r="E274">
        <v>20</v>
      </c>
      <c r="F274">
        <v>78</v>
      </c>
      <c r="G274">
        <v>19.899999999999999</v>
      </c>
      <c r="H274">
        <v>4</v>
      </c>
      <c r="I274">
        <v>1.2</v>
      </c>
      <c r="J274">
        <v>8.1999999999999993</v>
      </c>
      <c r="K274" s="1">
        <v>8657280</v>
      </c>
      <c r="L274" t="s">
        <v>21</v>
      </c>
    </row>
    <row r="275" spans="1:12">
      <c r="A275" t="s">
        <v>322</v>
      </c>
      <c r="B275" t="s">
        <v>54</v>
      </c>
      <c r="C275" t="s">
        <v>24</v>
      </c>
      <c r="D275" t="s">
        <v>25</v>
      </c>
      <c r="E275">
        <v>23</v>
      </c>
      <c r="F275">
        <v>17</v>
      </c>
      <c r="G275">
        <v>20.5</v>
      </c>
      <c r="H275">
        <v>4.5999999999999996</v>
      </c>
      <c r="I275">
        <v>2.1</v>
      </c>
      <c r="J275">
        <v>8.1999999999999993</v>
      </c>
      <c r="K275" s="1">
        <v>636435</v>
      </c>
      <c r="L275" t="s">
        <v>21</v>
      </c>
    </row>
    <row r="276" spans="1:12">
      <c r="A276" t="s">
        <v>323</v>
      </c>
      <c r="B276" t="s">
        <v>13</v>
      </c>
      <c r="C276" t="s">
        <v>14</v>
      </c>
      <c r="D276" t="s">
        <v>25</v>
      </c>
      <c r="E276">
        <v>24</v>
      </c>
      <c r="F276">
        <v>82</v>
      </c>
      <c r="G276">
        <v>25.1</v>
      </c>
      <c r="H276">
        <v>4</v>
      </c>
      <c r="I276">
        <v>1.8</v>
      </c>
      <c r="J276">
        <v>8.1999999999999993</v>
      </c>
      <c r="K276" s="1">
        <v>6000000</v>
      </c>
      <c r="L276" t="s">
        <v>21</v>
      </c>
    </row>
    <row r="277" spans="1:12">
      <c r="A277" t="s">
        <v>324</v>
      </c>
      <c r="B277" t="s">
        <v>83</v>
      </c>
      <c r="C277" t="s">
        <v>24</v>
      </c>
      <c r="D277" t="s">
        <v>15</v>
      </c>
      <c r="E277">
        <v>24</v>
      </c>
      <c r="F277">
        <v>41</v>
      </c>
      <c r="G277">
        <v>17.100000000000001</v>
      </c>
      <c r="H277">
        <v>2.1</v>
      </c>
      <c r="I277">
        <v>3</v>
      </c>
      <c r="J277">
        <v>8.1</v>
      </c>
      <c r="K277" s="1">
        <v>85300</v>
      </c>
      <c r="L277" t="s">
        <v>21</v>
      </c>
    </row>
    <row r="278" spans="1:12">
      <c r="A278" t="s">
        <v>325</v>
      </c>
      <c r="B278" t="s">
        <v>23</v>
      </c>
      <c r="C278" t="s">
        <v>24</v>
      </c>
      <c r="D278" t="s">
        <v>34</v>
      </c>
      <c r="E278">
        <v>27</v>
      </c>
      <c r="F278">
        <v>69</v>
      </c>
      <c r="G278">
        <v>16.2</v>
      </c>
      <c r="H278">
        <v>4.0999999999999996</v>
      </c>
      <c r="I278">
        <v>1</v>
      </c>
      <c r="J278">
        <v>8.1</v>
      </c>
      <c r="K278" s="1">
        <v>2461463</v>
      </c>
      <c r="L278" t="s">
        <v>21</v>
      </c>
    </row>
    <row r="279" spans="1:12">
      <c r="A279" t="s">
        <v>326</v>
      </c>
      <c r="B279" t="s">
        <v>39</v>
      </c>
      <c r="C279" t="s">
        <v>14</v>
      </c>
      <c r="D279" t="s">
        <v>15</v>
      </c>
      <c r="E279">
        <v>22</v>
      </c>
      <c r="F279">
        <v>15</v>
      </c>
      <c r="G279">
        <v>32.799999999999997</v>
      </c>
      <c r="H279">
        <v>3.8</v>
      </c>
      <c r="I279">
        <v>4.0999999999999996</v>
      </c>
      <c r="J279">
        <v>8.1</v>
      </c>
      <c r="K279" s="1">
        <v>73153</v>
      </c>
      <c r="L279" t="s">
        <v>21</v>
      </c>
    </row>
    <row r="280" spans="1:12">
      <c r="A280" t="s">
        <v>327</v>
      </c>
      <c r="B280" t="s">
        <v>72</v>
      </c>
      <c r="C280" t="s">
        <v>14</v>
      </c>
      <c r="D280" t="s">
        <v>15</v>
      </c>
      <c r="E280">
        <v>23</v>
      </c>
      <c r="F280">
        <v>42</v>
      </c>
      <c r="G280">
        <v>21</v>
      </c>
      <c r="H280">
        <v>2.1</v>
      </c>
      <c r="I280">
        <v>1.5</v>
      </c>
      <c r="J280">
        <v>8.1</v>
      </c>
      <c r="K280" s="1">
        <v>724598</v>
      </c>
      <c r="L280" t="s">
        <v>21</v>
      </c>
    </row>
    <row r="281" spans="1:12">
      <c r="A281" t="s">
        <v>328</v>
      </c>
      <c r="B281" t="s">
        <v>36</v>
      </c>
      <c r="C281" t="s">
        <v>24</v>
      </c>
      <c r="D281" t="s">
        <v>15</v>
      </c>
      <c r="E281">
        <v>27</v>
      </c>
      <c r="F281">
        <v>65</v>
      </c>
      <c r="G281">
        <v>21.2</v>
      </c>
      <c r="H281">
        <v>1</v>
      </c>
      <c r="I281">
        <v>1.2</v>
      </c>
      <c r="J281">
        <v>8.1</v>
      </c>
      <c r="K281" s="1">
        <v>3697105</v>
      </c>
      <c r="L281" t="s">
        <v>21</v>
      </c>
    </row>
    <row r="282" spans="1:12">
      <c r="A282" t="s">
        <v>329</v>
      </c>
      <c r="B282" t="s">
        <v>122</v>
      </c>
      <c r="C282" t="s">
        <v>24</v>
      </c>
      <c r="D282" t="s">
        <v>25</v>
      </c>
      <c r="E282">
        <v>27</v>
      </c>
      <c r="F282">
        <v>2</v>
      </c>
      <c r="G282">
        <v>22.5</v>
      </c>
      <c r="H282">
        <v>3</v>
      </c>
      <c r="I282">
        <v>3</v>
      </c>
      <c r="J282">
        <v>8</v>
      </c>
      <c r="K282" s="1">
        <v>47092</v>
      </c>
      <c r="L282" t="s">
        <v>21</v>
      </c>
    </row>
    <row r="283" spans="1:12">
      <c r="A283" t="s">
        <v>330</v>
      </c>
      <c r="B283" t="s">
        <v>94</v>
      </c>
      <c r="C283" t="s">
        <v>14</v>
      </c>
      <c r="D283" t="s">
        <v>15</v>
      </c>
      <c r="E283">
        <v>28</v>
      </c>
      <c r="F283">
        <v>11</v>
      </c>
      <c r="G283">
        <v>21</v>
      </c>
      <c r="H283">
        <v>4.5999999999999996</v>
      </c>
      <c r="I283">
        <v>3.3</v>
      </c>
      <c r="J283">
        <v>8</v>
      </c>
      <c r="K283" s="1">
        <v>131970</v>
      </c>
      <c r="L283" t="s">
        <v>21</v>
      </c>
    </row>
    <row r="284" spans="1:12">
      <c r="A284" t="s">
        <v>331</v>
      </c>
      <c r="B284" t="s">
        <v>33</v>
      </c>
      <c r="C284" t="s">
        <v>14</v>
      </c>
      <c r="D284" t="s">
        <v>25</v>
      </c>
      <c r="E284">
        <v>24</v>
      </c>
      <c r="F284">
        <v>5</v>
      </c>
      <c r="G284">
        <v>14.6</v>
      </c>
      <c r="H284">
        <v>4</v>
      </c>
      <c r="I284">
        <v>0.8</v>
      </c>
      <c r="J284">
        <v>8</v>
      </c>
      <c r="K284" s="1">
        <v>146307</v>
      </c>
      <c r="L284" t="s">
        <v>21</v>
      </c>
    </row>
    <row r="285" spans="1:12">
      <c r="A285" t="s">
        <v>332</v>
      </c>
      <c r="B285" t="s">
        <v>54</v>
      </c>
      <c r="C285" t="s">
        <v>24</v>
      </c>
      <c r="D285" t="s">
        <v>25</v>
      </c>
      <c r="E285">
        <v>29</v>
      </c>
      <c r="F285">
        <v>6</v>
      </c>
      <c r="G285">
        <v>30.3</v>
      </c>
      <c r="H285">
        <v>5.2</v>
      </c>
      <c r="I285">
        <v>1.7</v>
      </c>
      <c r="J285">
        <v>8</v>
      </c>
      <c r="K285" s="1">
        <v>636435</v>
      </c>
      <c r="L285" t="s">
        <v>21</v>
      </c>
    </row>
    <row r="286" spans="1:12">
      <c r="A286" t="s">
        <v>333</v>
      </c>
      <c r="B286" t="s">
        <v>41</v>
      </c>
      <c r="C286" t="s">
        <v>14</v>
      </c>
      <c r="D286" t="s">
        <v>15</v>
      </c>
      <c r="E286">
        <v>26</v>
      </c>
      <c r="F286">
        <v>14</v>
      </c>
      <c r="G286">
        <v>17.100000000000001</v>
      </c>
      <c r="H286">
        <v>2.1</v>
      </c>
      <c r="I286">
        <v>1</v>
      </c>
      <c r="J286">
        <v>8</v>
      </c>
      <c r="K286" s="1">
        <v>636435</v>
      </c>
      <c r="L286" t="s">
        <v>21</v>
      </c>
    </row>
    <row r="287" spans="1:12">
      <c r="A287" t="s">
        <v>334</v>
      </c>
      <c r="B287" t="s">
        <v>33</v>
      </c>
      <c r="C287" t="s">
        <v>14</v>
      </c>
      <c r="D287" t="s">
        <v>15</v>
      </c>
      <c r="E287">
        <v>29</v>
      </c>
      <c r="F287">
        <v>82</v>
      </c>
      <c r="G287">
        <v>24.4</v>
      </c>
      <c r="H287">
        <v>3.9</v>
      </c>
      <c r="I287">
        <v>2.1</v>
      </c>
      <c r="J287">
        <v>7.9</v>
      </c>
      <c r="K287" s="1">
        <v>3080921</v>
      </c>
      <c r="L287" t="s">
        <v>21</v>
      </c>
    </row>
    <row r="288" spans="1:12">
      <c r="A288" t="s">
        <v>335</v>
      </c>
      <c r="B288" t="s">
        <v>87</v>
      </c>
      <c r="C288" t="s">
        <v>24</v>
      </c>
      <c r="D288" t="s">
        <v>34</v>
      </c>
      <c r="E288">
        <v>24</v>
      </c>
      <c r="F288">
        <v>73</v>
      </c>
      <c r="G288">
        <v>26</v>
      </c>
      <c r="H288">
        <v>8.6999999999999993</v>
      </c>
      <c r="I288">
        <v>1.9</v>
      </c>
      <c r="J288">
        <v>7.9</v>
      </c>
      <c r="K288" s="1">
        <v>2270735</v>
      </c>
      <c r="L288" t="s">
        <v>16</v>
      </c>
    </row>
    <row r="289" spans="1:12">
      <c r="A289" t="s">
        <v>336</v>
      </c>
      <c r="B289" t="s">
        <v>54</v>
      </c>
      <c r="C289" t="s">
        <v>24</v>
      </c>
      <c r="D289" t="s">
        <v>15</v>
      </c>
      <c r="E289">
        <v>26</v>
      </c>
      <c r="F289">
        <v>24</v>
      </c>
      <c r="G289">
        <v>15.8</v>
      </c>
      <c r="H289">
        <v>1.1000000000000001</v>
      </c>
      <c r="I289">
        <v>1.7</v>
      </c>
      <c r="J289">
        <v>7.9</v>
      </c>
      <c r="K289" s="1">
        <v>85300</v>
      </c>
      <c r="L289" t="s">
        <v>21</v>
      </c>
    </row>
    <row r="290" spans="1:12">
      <c r="A290" t="s">
        <v>337</v>
      </c>
      <c r="B290" t="s">
        <v>122</v>
      </c>
      <c r="C290" t="s">
        <v>24</v>
      </c>
      <c r="D290" t="s">
        <v>25</v>
      </c>
      <c r="E290">
        <v>22</v>
      </c>
      <c r="F290">
        <v>46</v>
      </c>
      <c r="G290">
        <v>15.6</v>
      </c>
      <c r="H290">
        <v>3.9</v>
      </c>
      <c r="I290">
        <v>0.9</v>
      </c>
      <c r="J290">
        <v>7.8</v>
      </c>
      <c r="K290" s="1">
        <v>2221677</v>
      </c>
      <c r="L290" t="s">
        <v>16</v>
      </c>
    </row>
    <row r="291" spans="1:12">
      <c r="A291" t="s">
        <v>338</v>
      </c>
      <c r="B291" t="s">
        <v>94</v>
      </c>
      <c r="C291" t="s">
        <v>14</v>
      </c>
      <c r="D291" t="s">
        <v>15</v>
      </c>
      <c r="E291">
        <v>22</v>
      </c>
      <c r="F291">
        <v>69</v>
      </c>
      <c r="G291">
        <v>20.399999999999999</v>
      </c>
      <c r="H291">
        <v>2</v>
      </c>
      <c r="I291">
        <v>4</v>
      </c>
      <c r="J291">
        <v>7.8</v>
      </c>
      <c r="K291" s="1">
        <v>3991320</v>
      </c>
      <c r="L291" t="s">
        <v>21</v>
      </c>
    </row>
    <row r="292" spans="1:12">
      <c r="A292" t="s">
        <v>339</v>
      </c>
      <c r="B292" t="s">
        <v>58</v>
      </c>
      <c r="C292" t="s">
        <v>24</v>
      </c>
      <c r="D292" t="s">
        <v>34</v>
      </c>
      <c r="E292">
        <v>26</v>
      </c>
      <c r="F292">
        <v>65</v>
      </c>
      <c r="G292">
        <v>13.9</v>
      </c>
      <c r="H292">
        <v>4.5</v>
      </c>
      <c r="I292">
        <v>1.2</v>
      </c>
      <c r="J292">
        <v>7.8</v>
      </c>
      <c r="K292" s="1">
        <v>5335894</v>
      </c>
      <c r="L292" t="s">
        <v>21</v>
      </c>
    </row>
    <row r="293" spans="1:12">
      <c r="A293" t="s">
        <v>340</v>
      </c>
      <c r="B293" t="s">
        <v>39</v>
      </c>
      <c r="C293" t="s">
        <v>14</v>
      </c>
      <c r="D293" t="s">
        <v>34</v>
      </c>
      <c r="E293">
        <v>26</v>
      </c>
      <c r="F293">
        <v>27</v>
      </c>
      <c r="G293">
        <v>16.600000000000001</v>
      </c>
      <c r="H293">
        <v>6.6</v>
      </c>
      <c r="I293">
        <v>1.2</v>
      </c>
      <c r="J293">
        <v>7.8</v>
      </c>
      <c r="K293" s="1">
        <v>85300</v>
      </c>
      <c r="L293" t="s">
        <v>16</v>
      </c>
    </row>
    <row r="294" spans="1:12">
      <c r="A294" t="s">
        <v>341</v>
      </c>
      <c r="B294" t="s">
        <v>27</v>
      </c>
      <c r="C294" t="s">
        <v>24</v>
      </c>
      <c r="D294" t="s">
        <v>25</v>
      </c>
      <c r="E294">
        <v>22</v>
      </c>
      <c r="F294">
        <v>71</v>
      </c>
      <c r="G294">
        <v>23.8</v>
      </c>
      <c r="H294">
        <v>4.8</v>
      </c>
      <c r="I294">
        <v>1.2</v>
      </c>
      <c r="J294">
        <v>7.7</v>
      </c>
      <c r="K294" s="1">
        <v>3415000</v>
      </c>
      <c r="L294" t="s">
        <v>21</v>
      </c>
    </row>
    <row r="295" spans="1:12">
      <c r="A295" t="s">
        <v>342</v>
      </c>
      <c r="B295" t="s">
        <v>41</v>
      </c>
      <c r="C295" t="s">
        <v>14</v>
      </c>
      <c r="D295" t="s">
        <v>25</v>
      </c>
      <c r="E295">
        <v>25</v>
      </c>
      <c r="F295">
        <v>67</v>
      </c>
      <c r="G295">
        <v>17.3</v>
      </c>
      <c r="H295">
        <v>4</v>
      </c>
      <c r="I295">
        <v>1.4</v>
      </c>
      <c r="J295">
        <v>7.7</v>
      </c>
      <c r="K295" s="1">
        <v>1955377</v>
      </c>
      <c r="L295" t="s">
        <v>16</v>
      </c>
    </row>
    <row r="296" spans="1:12">
      <c r="A296" t="s">
        <v>343</v>
      </c>
      <c r="B296" t="s">
        <v>36</v>
      </c>
      <c r="C296" t="s">
        <v>24</v>
      </c>
      <c r="D296" t="s">
        <v>34</v>
      </c>
      <c r="E296">
        <v>22</v>
      </c>
      <c r="F296">
        <v>57</v>
      </c>
      <c r="G296">
        <v>19.3</v>
      </c>
      <c r="H296">
        <v>3.2</v>
      </c>
      <c r="I296">
        <v>2.4</v>
      </c>
      <c r="J296">
        <v>7.6</v>
      </c>
      <c r="K296" s="1">
        <v>6670882</v>
      </c>
      <c r="L296" t="s">
        <v>16</v>
      </c>
    </row>
    <row r="297" spans="1:12">
      <c r="A297" t="s">
        <v>344</v>
      </c>
      <c r="B297" t="s">
        <v>63</v>
      </c>
      <c r="C297" t="s">
        <v>24</v>
      </c>
      <c r="D297" t="s">
        <v>15</v>
      </c>
      <c r="E297">
        <v>33</v>
      </c>
      <c r="F297">
        <v>51</v>
      </c>
      <c r="G297">
        <v>16.100000000000001</v>
      </c>
      <c r="H297">
        <v>2.2999999999999998</v>
      </c>
      <c r="I297">
        <v>1.4</v>
      </c>
      <c r="J297">
        <v>7.6</v>
      </c>
      <c r="K297" s="1">
        <v>9219512</v>
      </c>
      <c r="L297" t="s">
        <v>16</v>
      </c>
    </row>
    <row r="298" spans="1:12">
      <c r="A298" t="s">
        <v>345</v>
      </c>
      <c r="B298" t="s">
        <v>87</v>
      </c>
      <c r="C298" t="s">
        <v>24</v>
      </c>
      <c r="D298" t="s">
        <v>34</v>
      </c>
      <c r="E298">
        <v>24</v>
      </c>
      <c r="F298">
        <v>69</v>
      </c>
      <c r="G298">
        <v>21.4</v>
      </c>
      <c r="H298">
        <v>5.5</v>
      </c>
      <c r="I298">
        <v>0.8</v>
      </c>
      <c r="J298">
        <v>7.6</v>
      </c>
      <c r="K298" s="1">
        <v>2296274</v>
      </c>
      <c r="L298" t="s">
        <v>21</v>
      </c>
    </row>
    <row r="299" spans="1:12">
      <c r="A299" t="s">
        <v>346</v>
      </c>
      <c r="B299" t="s">
        <v>13</v>
      </c>
      <c r="C299" t="s">
        <v>14</v>
      </c>
      <c r="D299" t="s">
        <v>34</v>
      </c>
      <c r="E299">
        <v>25</v>
      </c>
      <c r="F299">
        <v>66</v>
      </c>
      <c r="G299">
        <v>18.3</v>
      </c>
      <c r="H299">
        <v>4.0999999999999996</v>
      </c>
      <c r="I299">
        <v>0.9</v>
      </c>
      <c r="J299">
        <v>7.5</v>
      </c>
      <c r="K299" s="1">
        <v>3449323</v>
      </c>
      <c r="L299" t="s">
        <v>21</v>
      </c>
    </row>
    <row r="300" spans="1:12">
      <c r="A300" t="s">
        <v>347</v>
      </c>
      <c r="B300" t="s">
        <v>41</v>
      </c>
      <c r="C300" t="s">
        <v>14</v>
      </c>
      <c r="D300" t="s">
        <v>15</v>
      </c>
      <c r="E300">
        <v>33</v>
      </c>
      <c r="F300">
        <v>73</v>
      </c>
      <c r="G300">
        <v>15.6</v>
      </c>
      <c r="H300">
        <v>3.6</v>
      </c>
      <c r="I300">
        <v>1.7</v>
      </c>
      <c r="J300">
        <v>7.5</v>
      </c>
      <c r="K300" s="1">
        <v>3303774</v>
      </c>
      <c r="L300" t="s">
        <v>21</v>
      </c>
    </row>
    <row r="301" spans="1:12">
      <c r="A301" t="s">
        <v>348</v>
      </c>
      <c r="B301" t="s">
        <v>54</v>
      </c>
      <c r="C301" t="s">
        <v>24</v>
      </c>
      <c r="D301" t="s">
        <v>15</v>
      </c>
      <c r="E301">
        <v>19</v>
      </c>
      <c r="F301">
        <v>44</v>
      </c>
      <c r="G301">
        <v>20.8</v>
      </c>
      <c r="H301">
        <v>2.1</v>
      </c>
      <c r="I301">
        <v>3.3</v>
      </c>
      <c r="J301">
        <v>7.5</v>
      </c>
      <c r="K301" s="1">
        <v>2884560</v>
      </c>
      <c r="L301" t="s">
        <v>16</v>
      </c>
    </row>
    <row r="302" spans="1:12">
      <c r="A302" t="s">
        <v>349</v>
      </c>
      <c r="B302" t="s">
        <v>70</v>
      </c>
      <c r="C302" t="s">
        <v>24</v>
      </c>
      <c r="D302" t="s">
        <v>15</v>
      </c>
      <c r="E302">
        <v>21</v>
      </c>
      <c r="F302">
        <v>72</v>
      </c>
      <c r="G302">
        <v>20.5</v>
      </c>
      <c r="H302">
        <v>2.6</v>
      </c>
      <c r="I302">
        <v>1.2</v>
      </c>
      <c r="J302">
        <v>7.5</v>
      </c>
      <c r="K302" s="1">
        <v>3638160</v>
      </c>
      <c r="L302" t="s">
        <v>21</v>
      </c>
    </row>
    <row r="303" spans="1:12">
      <c r="A303" t="s">
        <v>350</v>
      </c>
      <c r="B303" t="s">
        <v>54</v>
      </c>
      <c r="C303" t="s">
        <v>24</v>
      </c>
      <c r="D303" t="s">
        <v>25</v>
      </c>
      <c r="E303">
        <v>23</v>
      </c>
      <c r="F303">
        <v>49</v>
      </c>
      <c r="G303">
        <v>17</v>
      </c>
      <c r="H303">
        <v>3.2</v>
      </c>
      <c r="I303">
        <v>0.9</v>
      </c>
      <c r="J303">
        <v>7.4</v>
      </c>
      <c r="K303" s="1">
        <v>2378870</v>
      </c>
      <c r="L303" t="s">
        <v>21</v>
      </c>
    </row>
    <row r="304" spans="1:12">
      <c r="A304" t="s">
        <v>351</v>
      </c>
      <c r="B304" t="s">
        <v>94</v>
      </c>
      <c r="C304" t="s">
        <v>14</v>
      </c>
      <c r="D304" t="s">
        <v>25</v>
      </c>
      <c r="E304">
        <v>22</v>
      </c>
      <c r="F304">
        <v>59</v>
      </c>
      <c r="G304">
        <v>18.899999999999999</v>
      </c>
      <c r="H304">
        <v>3.7</v>
      </c>
      <c r="I304">
        <v>0.9</v>
      </c>
      <c r="J304">
        <v>7.4</v>
      </c>
      <c r="K304" s="1">
        <v>6127080</v>
      </c>
      <c r="L304" t="s">
        <v>21</v>
      </c>
    </row>
    <row r="305" spans="1:12">
      <c r="A305" t="s">
        <v>352</v>
      </c>
      <c r="B305" t="s">
        <v>45</v>
      </c>
      <c r="C305" t="s">
        <v>24</v>
      </c>
      <c r="D305" t="s">
        <v>15</v>
      </c>
      <c r="E305">
        <v>27</v>
      </c>
      <c r="F305">
        <v>69</v>
      </c>
      <c r="G305">
        <v>19.899999999999999</v>
      </c>
      <c r="H305">
        <v>2.5</v>
      </c>
      <c r="I305">
        <v>3.4</v>
      </c>
      <c r="J305">
        <v>7.4</v>
      </c>
      <c r="K305" s="1">
        <v>4500000</v>
      </c>
      <c r="L305" t="s">
        <v>21</v>
      </c>
    </row>
    <row r="306" spans="1:12">
      <c r="A306" t="s">
        <v>353</v>
      </c>
      <c r="B306" t="s">
        <v>29</v>
      </c>
      <c r="C306" t="s">
        <v>14</v>
      </c>
      <c r="D306" t="s">
        <v>15</v>
      </c>
      <c r="E306">
        <v>33</v>
      </c>
      <c r="F306">
        <v>23</v>
      </c>
      <c r="G306">
        <v>19.7</v>
      </c>
      <c r="H306">
        <v>2.6</v>
      </c>
      <c r="I306">
        <v>2.2000000000000002</v>
      </c>
      <c r="J306">
        <v>7.4</v>
      </c>
      <c r="K306" s="1">
        <v>16020000</v>
      </c>
      <c r="L306" t="s">
        <v>16</v>
      </c>
    </row>
    <row r="307" spans="1:12">
      <c r="A307" t="s">
        <v>354</v>
      </c>
      <c r="B307" t="s">
        <v>58</v>
      </c>
      <c r="C307" t="s">
        <v>24</v>
      </c>
      <c r="D307" t="s">
        <v>15</v>
      </c>
      <c r="E307">
        <v>31</v>
      </c>
      <c r="F307">
        <v>60</v>
      </c>
      <c r="G307">
        <v>19.2</v>
      </c>
      <c r="H307">
        <v>2</v>
      </c>
      <c r="I307">
        <v>2.7</v>
      </c>
      <c r="J307">
        <v>7.4</v>
      </c>
      <c r="K307" s="1">
        <v>14104000</v>
      </c>
      <c r="L307" t="s">
        <v>21</v>
      </c>
    </row>
    <row r="308" spans="1:12">
      <c r="A308" t="s">
        <v>355</v>
      </c>
      <c r="B308" t="s">
        <v>27</v>
      </c>
      <c r="C308" t="s">
        <v>24</v>
      </c>
      <c r="D308" t="s">
        <v>15</v>
      </c>
      <c r="E308">
        <v>31</v>
      </c>
      <c r="F308">
        <v>22</v>
      </c>
      <c r="G308">
        <v>17</v>
      </c>
      <c r="H308">
        <v>2</v>
      </c>
      <c r="I308">
        <v>2.6</v>
      </c>
      <c r="J308">
        <v>7.4</v>
      </c>
      <c r="K308" s="1">
        <v>1127841</v>
      </c>
      <c r="L308" t="s">
        <v>21</v>
      </c>
    </row>
    <row r="309" spans="1:12">
      <c r="A309" t="s">
        <v>356</v>
      </c>
      <c r="B309" t="s">
        <v>83</v>
      </c>
      <c r="C309" t="s">
        <v>24</v>
      </c>
      <c r="D309" t="s">
        <v>15</v>
      </c>
      <c r="E309">
        <v>24</v>
      </c>
      <c r="F309">
        <v>50</v>
      </c>
      <c r="G309">
        <v>20.6</v>
      </c>
      <c r="H309">
        <v>3.9</v>
      </c>
      <c r="I309">
        <v>1.3</v>
      </c>
      <c r="J309">
        <v>7.4</v>
      </c>
      <c r="K309" s="1">
        <v>1131970</v>
      </c>
      <c r="L309" t="s">
        <v>21</v>
      </c>
    </row>
    <row r="310" spans="1:12">
      <c r="A310" t="s">
        <v>357</v>
      </c>
      <c r="B310" t="s">
        <v>29</v>
      </c>
      <c r="C310" t="s">
        <v>14</v>
      </c>
      <c r="D310" t="s">
        <v>15</v>
      </c>
      <c r="E310">
        <v>31</v>
      </c>
      <c r="F310">
        <v>82</v>
      </c>
      <c r="G310">
        <v>27.2</v>
      </c>
      <c r="H310">
        <v>3.3</v>
      </c>
      <c r="I310">
        <v>3.6</v>
      </c>
      <c r="J310">
        <v>7.3</v>
      </c>
      <c r="K310" s="1">
        <v>5426400</v>
      </c>
      <c r="L310" t="s">
        <v>21</v>
      </c>
    </row>
    <row r="311" spans="1:12">
      <c r="A311" t="s">
        <v>358</v>
      </c>
      <c r="B311" t="s">
        <v>68</v>
      </c>
      <c r="C311" t="s">
        <v>24</v>
      </c>
      <c r="D311" t="s">
        <v>25</v>
      </c>
      <c r="E311">
        <v>22</v>
      </c>
      <c r="F311">
        <v>47</v>
      </c>
      <c r="G311">
        <v>17.2</v>
      </c>
      <c r="H311">
        <v>3.3</v>
      </c>
      <c r="I311">
        <v>2.2000000000000002</v>
      </c>
      <c r="J311">
        <v>7.3</v>
      </c>
      <c r="K311" s="1">
        <v>4445417</v>
      </c>
      <c r="L311" t="s">
        <v>16</v>
      </c>
    </row>
    <row r="312" spans="1:12">
      <c r="A312" t="s">
        <v>359</v>
      </c>
      <c r="B312" t="s">
        <v>29</v>
      </c>
      <c r="C312" t="s">
        <v>14</v>
      </c>
      <c r="D312" t="s">
        <v>15</v>
      </c>
      <c r="E312">
        <v>23</v>
      </c>
      <c r="F312">
        <v>68</v>
      </c>
      <c r="G312">
        <v>19.899999999999999</v>
      </c>
      <c r="H312">
        <v>2.2999999999999998</v>
      </c>
      <c r="I312">
        <v>1.6</v>
      </c>
      <c r="J312">
        <v>7.3</v>
      </c>
      <c r="K312" s="1">
        <v>475497</v>
      </c>
      <c r="L312" t="s">
        <v>21</v>
      </c>
    </row>
    <row r="313" spans="1:12">
      <c r="A313" t="s">
        <v>360</v>
      </c>
      <c r="B313" t="s">
        <v>56</v>
      </c>
      <c r="C313" t="s">
        <v>24</v>
      </c>
      <c r="D313" t="s">
        <v>25</v>
      </c>
      <c r="E313">
        <v>26</v>
      </c>
      <c r="F313">
        <v>13</v>
      </c>
      <c r="G313">
        <v>23.9</v>
      </c>
      <c r="H313">
        <v>4.4000000000000004</v>
      </c>
      <c r="I313">
        <v>2.8</v>
      </c>
      <c r="J313">
        <v>7.3</v>
      </c>
      <c r="K313" s="1">
        <v>160938</v>
      </c>
      <c r="L313" t="s">
        <v>21</v>
      </c>
    </row>
    <row r="314" spans="1:12">
      <c r="A314" t="s">
        <v>361</v>
      </c>
      <c r="B314" t="s">
        <v>54</v>
      </c>
      <c r="C314" t="s">
        <v>24</v>
      </c>
      <c r="D314" t="s">
        <v>15</v>
      </c>
      <c r="E314">
        <v>29</v>
      </c>
      <c r="F314">
        <v>63</v>
      </c>
      <c r="G314">
        <v>24.3</v>
      </c>
      <c r="H314">
        <v>3.2</v>
      </c>
      <c r="I314">
        <v>3</v>
      </c>
      <c r="J314">
        <v>7.2</v>
      </c>
      <c r="K314" s="1">
        <v>15500000</v>
      </c>
      <c r="L314" t="s">
        <v>21</v>
      </c>
    </row>
    <row r="315" spans="1:12">
      <c r="A315" t="s">
        <v>362</v>
      </c>
      <c r="B315" t="s">
        <v>41</v>
      </c>
      <c r="C315" t="s">
        <v>14</v>
      </c>
      <c r="D315" t="s">
        <v>15</v>
      </c>
      <c r="E315">
        <v>29</v>
      </c>
      <c r="F315">
        <v>66</v>
      </c>
      <c r="G315">
        <v>18.600000000000001</v>
      </c>
      <c r="H315">
        <v>2.4</v>
      </c>
      <c r="I315">
        <v>3.5</v>
      </c>
      <c r="J315">
        <v>7.2</v>
      </c>
      <c r="K315" s="1">
        <v>857804</v>
      </c>
      <c r="L315" t="s">
        <v>21</v>
      </c>
    </row>
    <row r="316" spans="1:12">
      <c r="A316" t="s">
        <v>363</v>
      </c>
      <c r="B316" t="s">
        <v>33</v>
      </c>
      <c r="C316" t="s">
        <v>14</v>
      </c>
      <c r="D316" t="s">
        <v>15</v>
      </c>
      <c r="E316">
        <v>23</v>
      </c>
      <c r="F316">
        <v>57</v>
      </c>
      <c r="G316">
        <v>15.1</v>
      </c>
      <c r="H316">
        <v>2</v>
      </c>
      <c r="I316">
        <v>1.1000000000000001</v>
      </c>
      <c r="J316">
        <v>7.2</v>
      </c>
      <c r="K316" s="1">
        <v>2674200</v>
      </c>
      <c r="L316" t="s">
        <v>21</v>
      </c>
    </row>
    <row r="317" spans="1:12">
      <c r="A317" t="s">
        <v>364</v>
      </c>
      <c r="B317" t="s">
        <v>18</v>
      </c>
      <c r="C317" t="s">
        <v>14</v>
      </c>
      <c r="D317" t="s">
        <v>25</v>
      </c>
      <c r="E317">
        <v>23</v>
      </c>
      <c r="F317">
        <v>65</v>
      </c>
      <c r="G317">
        <v>19.600000000000001</v>
      </c>
      <c r="H317">
        <v>5.5</v>
      </c>
      <c r="I317">
        <v>2.4</v>
      </c>
      <c r="J317">
        <v>7.2</v>
      </c>
      <c r="K317" s="1">
        <v>8450704</v>
      </c>
      <c r="L317" t="s">
        <v>21</v>
      </c>
    </row>
    <row r="318" spans="1:12">
      <c r="A318" t="s">
        <v>365</v>
      </c>
      <c r="B318" t="s">
        <v>83</v>
      </c>
      <c r="C318" t="s">
        <v>24</v>
      </c>
      <c r="D318" t="s">
        <v>25</v>
      </c>
      <c r="E318">
        <v>26</v>
      </c>
      <c r="F318">
        <v>15</v>
      </c>
      <c r="G318">
        <v>28.9</v>
      </c>
      <c r="H318">
        <v>5</v>
      </c>
      <c r="I318">
        <v>1.5</v>
      </c>
      <c r="J318">
        <v>7.1</v>
      </c>
      <c r="K318" s="1">
        <v>186541</v>
      </c>
      <c r="L318" t="s">
        <v>21</v>
      </c>
    </row>
    <row r="319" spans="1:12">
      <c r="A319" t="s">
        <v>366</v>
      </c>
      <c r="B319" t="s">
        <v>41</v>
      </c>
      <c r="C319" t="s">
        <v>14</v>
      </c>
      <c r="D319" t="s">
        <v>15</v>
      </c>
      <c r="E319">
        <v>35</v>
      </c>
      <c r="F319">
        <v>10</v>
      </c>
      <c r="G319">
        <v>13.3</v>
      </c>
      <c r="H319">
        <v>1.2</v>
      </c>
      <c r="I319">
        <v>1</v>
      </c>
      <c r="J319">
        <v>7.1</v>
      </c>
      <c r="K319" s="1">
        <v>2777830</v>
      </c>
      <c r="L319" t="s">
        <v>21</v>
      </c>
    </row>
    <row r="320" spans="1:12">
      <c r="A320" t="s">
        <v>367</v>
      </c>
      <c r="B320" t="s">
        <v>56</v>
      </c>
      <c r="C320" t="s">
        <v>24</v>
      </c>
      <c r="D320" t="s">
        <v>15</v>
      </c>
      <c r="E320">
        <v>24</v>
      </c>
      <c r="F320">
        <v>65</v>
      </c>
      <c r="G320">
        <v>21.4</v>
      </c>
      <c r="H320">
        <v>3</v>
      </c>
      <c r="I320">
        <v>1.8</v>
      </c>
      <c r="J320">
        <v>7.1</v>
      </c>
      <c r="K320" s="1">
        <v>2790720</v>
      </c>
      <c r="L320" t="s">
        <v>21</v>
      </c>
    </row>
    <row r="321" spans="1:12">
      <c r="A321" t="s">
        <v>368</v>
      </c>
      <c r="B321" t="s">
        <v>94</v>
      </c>
      <c r="C321" t="s">
        <v>14</v>
      </c>
      <c r="D321" t="s">
        <v>34</v>
      </c>
      <c r="E321">
        <v>22</v>
      </c>
      <c r="F321">
        <v>2</v>
      </c>
      <c r="G321">
        <v>24.5</v>
      </c>
      <c r="H321">
        <v>7.5</v>
      </c>
      <c r="I321">
        <v>1.5</v>
      </c>
      <c r="J321">
        <v>7</v>
      </c>
      <c r="K321" s="1">
        <v>87784</v>
      </c>
      <c r="L321" t="s">
        <v>21</v>
      </c>
    </row>
    <row r="322" spans="1:12">
      <c r="A322" t="s">
        <v>369</v>
      </c>
      <c r="B322" t="s">
        <v>56</v>
      </c>
      <c r="C322" t="s">
        <v>24</v>
      </c>
      <c r="D322" t="s">
        <v>15</v>
      </c>
      <c r="E322">
        <v>26</v>
      </c>
      <c r="F322">
        <v>32</v>
      </c>
      <c r="G322">
        <v>20.399999999999999</v>
      </c>
      <c r="H322">
        <v>2.2000000000000002</v>
      </c>
      <c r="I322">
        <v>1.8</v>
      </c>
      <c r="J322">
        <v>7</v>
      </c>
      <c r="K322" s="1">
        <v>636435</v>
      </c>
      <c r="L322" t="s">
        <v>21</v>
      </c>
    </row>
    <row r="323" spans="1:12">
      <c r="A323" t="s">
        <v>370</v>
      </c>
      <c r="B323" t="s">
        <v>87</v>
      </c>
      <c r="C323" t="s">
        <v>24</v>
      </c>
      <c r="D323" t="s">
        <v>25</v>
      </c>
      <c r="E323">
        <v>27</v>
      </c>
      <c r="F323">
        <v>36</v>
      </c>
      <c r="G323">
        <v>19.8</v>
      </c>
      <c r="H323">
        <v>3.9</v>
      </c>
      <c r="I323">
        <v>1.6</v>
      </c>
      <c r="J323">
        <v>7</v>
      </c>
      <c r="K323" s="1">
        <v>13645500</v>
      </c>
      <c r="L323" t="s">
        <v>21</v>
      </c>
    </row>
    <row r="324" spans="1:12">
      <c r="A324" t="s">
        <v>371</v>
      </c>
      <c r="B324" t="s">
        <v>122</v>
      </c>
      <c r="C324" t="s">
        <v>24</v>
      </c>
      <c r="D324" t="s">
        <v>25</v>
      </c>
      <c r="E324">
        <v>24</v>
      </c>
      <c r="F324">
        <v>72</v>
      </c>
      <c r="G324">
        <v>20.5</v>
      </c>
      <c r="H324">
        <v>3</v>
      </c>
      <c r="I324">
        <v>1.5</v>
      </c>
      <c r="J324">
        <v>7</v>
      </c>
      <c r="K324" s="1">
        <v>18000000</v>
      </c>
      <c r="L324" t="s">
        <v>21</v>
      </c>
    </row>
    <row r="325" spans="1:12">
      <c r="A325" t="s">
        <v>372</v>
      </c>
      <c r="B325" t="s">
        <v>58</v>
      </c>
      <c r="C325" t="s">
        <v>24</v>
      </c>
      <c r="D325" t="s">
        <v>15</v>
      </c>
      <c r="E325">
        <v>32</v>
      </c>
      <c r="F325">
        <v>82</v>
      </c>
      <c r="G325">
        <v>17.600000000000001</v>
      </c>
      <c r="H325">
        <v>2.8</v>
      </c>
      <c r="I325">
        <v>0.7</v>
      </c>
      <c r="J325">
        <v>6.9</v>
      </c>
      <c r="K325" s="1">
        <v>2874436</v>
      </c>
      <c r="L325" t="s">
        <v>21</v>
      </c>
    </row>
    <row r="326" spans="1:12">
      <c r="A326" t="s">
        <v>373</v>
      </c>
      <c r="B326" t="s">
        <v>65</v>
      </c>
      <c r="C326" t="s">
        <v>24</v>
      </c>
      <c r="D326" t="s">
        <v>34</v>
      </c>
      <c r="E326">
        <v>28</v>
      </c>
      <c r="F326">
        <v>36</v>
      </c>
      <c r="G326">
        <v>11.9</v>
      </c>
      <c r="H326">
        <v>3.2</v>
      </c>
      <c r="I326">
        <v>0.8</v>
      </c>
      <c r="J326">
        <v>6.9</v>
      </c>
      <c r="K326" s="1">
        <v>5000000</v>
      </c>
      <c r="L326" t="s">
        <v>16</v>
      </c>
    </row>
    <row r="327" spans="1:12">
      <c r="A327" t="s">
        <v>374</v>
      </c>
      <c r="B327" t="s">
        <v>27</v>
      </c>
      <c r="C327" t="s">
        <v>24</v>
      </c>
      <c r="D327" t="s">
        <v>25</v>
      </c>
      <c r="E327">
        <v>25</v>
      </c>
      <c r="F327">
        <v>14</v>
      </c>
      <c r="G327">
        <v>14</v>
      </c>
      <c r="H327">
        <v>2.2999999999999998</v>
      </c>
      <c r="I327">
        <v>1.1000000000000001</v>
      </c>
      <c r="J327">
        <v>6.8</v>
      </c>
      <c r="K327" s="1">
        <v>636435</v>
      </c>
      <c r="L327" t="s">
        <v>21</v>
      </c>
    </row>
    <row r="328" spans="1:12">
      <c r="A328" t="s">
        <v>375</v>
      </c>
      <c r="B328" t="s">
        <v>39</v>
      </c>
      <c r="C328" t="s">
        <v>14</v>
      </c>
      <c r="D328" t="s">
        <v>15</v>
      </c>
      <c r="E328">
        <v>25</v>
      </c>
      <c r="F328">
        <v>26</v>
      </c>
      <c r="G328">
        <v>21</v>
      </c>
      <c r="H328">
        <v>2</v>
      </c>
      <c r="I328">
        <v>2.9</v>
      </c>
      <c r="J328">
        <v>6.8</v>
      </c>
      <c r="K328" s="1">
        <v>636435</v>
      </c>
      <c r="L328" t="s">
        <v>21</v>
      </c>
    </row>
    <row r="329" spans="1:12">
      <c r="A329" t="s">
        <v>376</v>
      </c>
      <c r="B329" t="s">
        <v>31</v>
      </c>
      <c r="C329" t="s">
        <v>24</v>
      </c>
      <c r="D329" t="s">
        <v>15</v>
      </c>
      <c r="E329">
        <v>26</v>
      </c>
      <c r="F329">
        <v>72</v>
      </c>
      <c r="G329">
        <v>20.5</v>
      </c>
      <c r="H329">
        <v>1.9</v>
      </c>
      <c r="I329">
        <v>1</v>
      </c>
      <c r="J329">
        <v>6.7</v>
      </c>
      <c r="K329" s="1">
        <v>2301587</v>
      </c>
      <c r="L329" t="s">
        <v>21</v>
      </c>
    </row>
    <row r="330" spans="1:12">
      <c r="A330" t="s">
        <v>377</v>
      </c>
      <c r="B330" t="s">
        <v>29</v>
      </c>
      <c r="C330" t="s">
        <v>14</v>
      </c>
      <c r="D330" t="s">
        <v>34</v>
      </c>
      <c r="E330">
        <v>24</v>
      </c>
      <c r="F330">
        <v>55</v>
      </c>
      <c r="G330">
        <v>16.5</v>
      </c>
      <c r="H330">
        <v>5.3</v>
      </c>
      <c r="I330">
        <v>0.9</v>
      </c>
      <c r="J330">
        <v>6.7</v>
      </c>
      <c r="K330" s="1">
        <v>7600000</v>
      </c>
      <c r="L330" t="s">
        <v>21</v>
      </c>
    </row>
    <row r="331" spans="1:12">
      <c r="A331" t="s">
        <v>378</v>
      </c>
      <c r="B331" t="s">
        <v>36</v>
      </c>
      <c r="C331" t="s">
        <v>24</v>
      </c>
      <c r="D331" t="s">
        <v>15</v>
      </c>
      <c r="E331">
        <v>25</v>
      </c>
      <c r="F331">
        <v>35</v>
      </c>
      <c r="G331">
        <v>15.1</v>
      </c>
      <c r="H331">
        <v>2.5</v>
      </c>
      <c r="I331">
        <v>3.5</v>
      </c>
      <c r="J331">
        <v>6.7</v>
      </c>
      <c r="K331" s="1">
        <v>6367947</v>
      </c>
      <c r="L331" t="s">
        <v>21</v>
      </c>
    </row>
    <row r="332" spans="1:12">
      <c r="A332" t="s">
        <v>379</v>
      </c>
      <c r="B332" t="s">
        <v>39</v>
      </c>
      <c r="C332" t="s">
        <v>14</v>
      </c>
      <c r="D332" t="s">
        <v>25</v>
      </c>
      <c r="E332">
        <v>37</v>
      </c>
      <c r="F332">
        <v>37</v>
      </c>
      <c r="G332">
        <v>16.600000000000001</v>
      </c>
      <c r="H332">
        <v>5.8</v>
      </c>
      <c r="I332">
        <v>1.8</v>
      </c>
      <c r="J332">
        <v>6.7</v>
      </c>
      <c r="K332" s="1">
        <v>4150000</v>
      </c>
      <c r="L332" t="s">
        <v>21</v>
      </c>
    </row>
    <row r="333" spans="1:12">
      <c r="A333" t="s">
        <v>380</v>
      </c>
      <c r="B333" t="s">
        <v>52</v>
      </c>
      <c r="C333" t="s">
        <v>14</v>
      </c>
      <c r="D333" t="s">
        <v>34</v>
      </c>
      <c r="E333">
        <v>28</v>
      </c>
      <c r="F333">
        <v>59</v>
      </c>
      <c r="G333">
        <v>17.100000000000001</v>
      </c>
      <c r="H333">
        <v>7</v>
      </c>
      <c r="I333">
        <v>1</v>
      </c>
      <c r="J333">
        <v>6.7</v>
      </c>
      <c r="K333" s="1">
        <v>13285713</v>
      </c>
      <c r="L333" t="s">
        <v>21</v>
      </c>
    </row>
    <row r="334" spans="1:12">
      <c r="A334" t="s">
        <v>381</v>
      </c>
      <c r="B334" t="s">
        <v>75</v>
      </c>
      <c r="C334" t="s">
        <v>14</v>
      </c>
      <c r="D334" t="s">
        <v>15</v>
      </c>
      <c r="E334">
        <v>22</v>
      </c>
      <c r="F334">
        <v>60</v>
      </c>
      <c r="G334">
        <v>19.5</v>
      </c>
      <c r="H334">
        <v>2.2000000000000002</v>
      </c>
      <c r="I334">
        <v>5.3</v>
      </c>
      <c r="J334">
        <v>6.6</v>
      </c>
      <c r="K334" s="1">
        <v>321875</v>
      </c>
      <c r="L334" t="s">
        <v>16</v>
      </c>
    </row>
    <row r="335" spans="1:12">
      <c r="A335" t="s">
        <v>382</v>
      </c>
      <c r="B335" t="s">
        <v>70</v>
      </c>
      <c r="C335" t="s">
        <v>24</v>
      </c>
      <c r="D335" t="s">
        <v>15</v>
      </c>
      <c r="E335">
        <v>23</v>
      </c>
      <c r="F335">
        <v>82</v>
      </c>
      <c r="G335">
        <v>22.6</v>
      </c>
      <c r="H335">
        <v>1.7</v>
      </c>
      <c r="I335">
        <v>5.4</v>
      </c>
      <c r="J335">
        <v>6.6</v>
      </c>
      <c r="K335" s="1">
        <v>1955377</v>
      </c>
      <c r="L335" t="s">
        <v>21</v>
      </c>
    </row>
    <row r="336" spans="1:12">
      <c r="A336" t="s">
        <v>383</v>
      </c>
      <c r="B336" t="s">
        <v>43</v>
      </c>
      <c r="C336" t="s">
        <v>14</v>
      </c>
      <c r="D336" t="s">
        <v>25</v>
      </c>
      <c r="E336">
        <v>23</v>
      </c>
      <c r="F336">
        <v>82</v>
      </c>
      <c r="G336">
        <v>22</v>
      </c>
      <c r="H336">
        <v>5.0999999999999996</v>
      </c>
      <c r="I336">
        <v>2.2999999999999998</v>
      </c>
      <c r="J336">
        <v>6.5</v>
      </c>
      <c r="K336" s="1">
        <v>1955377</v>
      </c>
      <c r="L336" t="s">
        <v>21</v>
      </c>
    </row>
    <row r="337" spans="1:12">
      <c r="A337" t="s">
        <v>384</v>
      </c>
      <c r="B337" t="s">
        <v>50</v>
      </c>
      <c r="C337" t="s">
        <v>14</v>
      </c>
      <c r="D337" t="s">
        <v>34</v>
      </c>
      <c r="E337">
        <v>30</v>
      </c>
      <c r="F337">
        <v>68</v>
      </c>
      <c r="G337">
        <v>21</v>
      </c>
      <c r="H337">
        <v>6.1</v>
      </c>
      <c r="I337">
        <v>1.9</v>
      </c>
      <c r="J337">
        <v>6.5</v>
      </c>
      <c r="K337" s="1">
        <v>11000000</v>
      </c>
      <c r="L337" t="s">
        <v>21</v>
      </c>
    </row>
    <row r="338" spans="1:12">
      <c r="A338" t="s">
        <v>385</v>
      </c>
      <c r="B338" t="s">
        <v>54</v>
      </c>
      <c r="C338" t="s">
        <v>24</v>
      </c>
      <c r="D338" t="s">
        <v>15</v>
      </c>
      <c r="E338">
        <v>20</v>
      </c>
      <c r="F338">
        <v>63</v>
      </c>
      <c r="G338">
        <v>21</v>
      </c>
      <c r="H338">
        <v>1.8</v>
      </c>
      <c r="I338">
        <v>1.4</v>
      </c>
      <c r="J338">
        <v>6.5</v>
      </c>
      <c r="K338" s="1">
        <v>3372240</v>
      </c>
      <c r="L338" t="s">
        <v>21</v>
      </c>
    </row>
    <row r="339" spans="1:12">
      <c r="A339" t="s">
        <v>386</v>
      </c>
      <c r="B339" t="s">
        <v>27</v>
      </c>
      <c r="C339" t="s">
        <v>24</v>
      </c>
      <c r="D339" t="s">
        <v>25</v>
      </c>
      <c r="E339">
        <v>25</v>
      </c>
      <c r="F339">
        <v>53</v>
      </c>
      <c r="G339">
        <v>16.3</v>
      </c>
      <c r="H339">
        <v>3.3</v>
      </c>
      <c r="I339">
        <v>2.5</v>
      </c>
      <c r="J339">
        <v>6.5</v>
      </c>
      <c r="K339" s="1">
        <v>2461463</v>
      </c>
      <c r="L339" t="s">
        <v>21</v>
      </c>
    </row>
    <row r="340" spans="1:12">
      <c r="A340" t="s">
        <v>387</v>
      </c>
      <c r="B340" t="s">
        <v>18</v>
      </c>
      <c r="C340" t="s">
        <v>14</v>
      </c>
      <c r="D340" t="s">
        <v>25</v>
      </c>
      <c r="E340">
        <v>31</v>
      </c>
      <c r="F340">
        <v>56</v>
      </c>
      <c r="G340">
        <v>15.3</v>
      </c>
      <c r="H340">
        <v>3.3</v>
      </c>
      <c r="I340">
        <v>1.4</v>
      </c>
      <c r="J340">
        <v>6.5</v>
      </c>
      <c r="K340" s="1">
        <v>7163000</v>
      </c>
      <c r="L340" t="s">
        <v>21</v>
      </c>
    </row>
    <row r="341" spans="1:12">
      <c r="A341" t="s">
        <v>388</v>
      </c>
      <c r="B341" t="s">
        <v>65</v>
      </c>
      <c r="C341" t="s">
        <v>24</v>
      </c>
      <c r="D341" t="s">
        <v>15</v>
      </c>
      <c r="E341">
        <v>30</v>
      </c>
      <c r="F341">
        <v>53</v>
      </c>
      <c r="G341">
        <v>16.399999999999999</v>
      </c>
      <c r="H341">
        <v>1.7</v>
      </c>
      <c r="I341">
        <v>1.6</v>
      </c>
      <c r="J341">
        <v>6.4</v>
      </c>
      <c r="K341" s="1">
        <v>1168625</v>
      </c>
      <c r="L341" t="s">
        <v>21</v>
      </c>
    </row>
    <row r="342" spans="1:12">
      <c r="A342" t="s">
        <v>389</v>
      </c>
      <c r="B342" t="s">
        <v>27</v>
      </c>
      <c r="C342" t="s">
        <v>24</v>
      </c>
      <c r="D342" t="s">
        <v>34</v>
      </c>
      <c r="E342">
        <v>32</v>
      </c>
      <c r="F342">
        <v>63</v>
      </c>
      <c r="G342">
        <v>19.5</v>
      </c>
      <c r="H342">
        <v>8.4</v>
      </c>
      <c r="I342">
        <v>1.3</v>
      </c>
      <c r="J342">
        <v>6.4</v>
      </c>
      <c r="K342" s="1">
        <v>5000000</v>
      </c>
      <c r="L342" t="s">
        <v>21</v>
      </c>
    </row>
    <row r="343" spans="1:12">
      <c r="A343" t="s">
        <v>390</v>
      </c>
      <c r="B343" t="s">
        <v>41</v>
      </c>
      <c r="C343" t="s">
        <v>14</v>
      </c>
      <c r="D343" t="s">
        <v>15</v>
      </c>
      <c r="E343">
        <v>23</v>
      </c>
      <c r="F343">
        <v>69</v>
      </c>
      <c r="G343">
        <v>20</v>
      </c>
      <c r="H343">
        <v>2.5</v>
      </c>
      <c r="I343">
        <v>1.3</v>
      </c>
      <c r="J343">
        <v>6.4</v>
      </c>
      <c r="K343" s="1">
        <v>1272870</v>
      </c>
      <c r="L343" t="s">
        <v>21</v>
      </c>
    </row>
    <row r="344" spans="1:12">
      <c r="A344" t="s">
        <v>391</v>
      </c>
      <c r="B344" t="s">
        <v>54</v>
      </c>
      <c r="C344" t="s">
        <v>24</v>
      </c>
      <c r="D344" t="s">
        <v>25</v>
      </c>
      <c r="E344">
        <v>25</v>
      </c>
      <c r="F344">
        <v>54</v>
      </c>
      <c r="G344">
        <v>15.9</v>
      </c>
      <c r="H344">
        <v>2.1</v>
      </c>
      <c r="I344">
        <v>0.9</v>
      </c>
      <c r="J344">
        <v>6.4</v>
      </c>
      <c r="K344" s="1">
        <v>2221677</v>
      </c>
      <c r="L344" t="s">
        <v>21</v>
      </c>
    </row>
    <row r="345" spans="1:12">
      <c r="A345" t="s">
        <v>392</v>
      </c>
      <c r="B345" t="s">
        <v>122</v>
      </c>
      <c r="C345" t="s">
        <v>24</v>
      </c>
      <c r="D345" t="s">
        <v>15</v>
      </c>
      <c r="E345">
        <v>21</v>
      </c>
      <c r="F345">
        <v>65</v>
      </c>
      <c r="G345">
        <v>14.9</v>
      </c>
      <c r="H345">
        <v>2</v>
      </c>
      <c r="I345">
        <v>2.2000000000000002</v>
      </c>
      <c r="J345">
        <v>6.3</v>
      </c>
      <c r="K345" s="1">
        <v>6576120</v>
      </c>
      <c r="L345" t="s">
        <v>21</v>
      </c>
    </row>
    <row r="346" spans="1:12">
      <c r="A346" t="s">
        <v>393</v>
      </c>
      <c r="B346" t="s">
        <v>20</v>
      </c>
      <c r="C346" t="s">
        <v>14</v>
      </c>
      <c r="D346" t="s">
        <v>25</v>
      </c>
      <c r="E346">
        <v>32</v>
      </c>
      <c r="F346">
        <v>43</v>
      </c>
      <c r="G346">
        <v>19.8</v>
      </c>
      <c r="H346">
        <v>3.5</v>
      </c>
      <c r="I346">
        <v>2.9</v>
      </c>
      <c r="J346">
        <v>6.2</v>
      </c>
      <c r="K346" s="1">
        <v>898095</v>
      </c>
      <c r="L346" t="s">
        <v>21</v>
      </c>
    </row>
    <row r="347" spans="1:12">
      <c r="A347" t="s">
        <v>394</v>
      </c>
      <c r="B347" t="s">
        <v>31</v>
      </c>
      <c r="C347" t="s">
        <v>24</v>
      </c>
      <c r="D347" t="s">
        <v>34</v>
      </c>
      <c r="E347">
        <v>28</v>
      </c>
      <c r="F347">
        <v>60</v>
      </c>
      <c r="G347">
        <v>12.2</v>
      </c>
      <c r="H347">
        <v>3.4</v>
      </c>
      <c r="I347">
        <v>0.6</v>
      </c>
      <c r="J347">
        <v>6.2</v>
      </c>
      <c r="K347" s="1">
        <v>3287409</v>
      </c>
      <c r="L347" t="s">
        <v>21</v>
      </c>
    </row>
    <row r="348" spans="1:12">
      <c r="A348" t="s">
        <v>395</v>
      </c>
      <c r="B348" t="s">
        <v>18</v>
      </c>
      <c r="C348" t="s">
        <v>14</v>
      </c>
      <c r="D348" t="s">
        <v>15</v>
      </c>
      <c r="E348">
        <v>31</v>
      </c>
      <c r="F348">
        <v>56</v>
      </c>
      <c r="G348">
        <v>18.2</v>
      </c>
      <c r="H348">
        <v>2.8</v>
      </c>
      <c r="I348">
        <v>2</v>
      </c>
      <c r="J348">
        <v>6.2</v>
      </c>
      <c r="K348" s="1">
        <v>18102000</v>
      </c>
      <c r="L348" t="s">
        <v>21</v>
      </c>
    </row>
    <row r="349" spans="1:12">
      <c r="A349" t="s">
        <v>396</v>
      </c>
      <c r="B349" t="s">
        <v>68</v>
      </c>
      <c r="C349" t="s">
        <v>24</v>
      </c>
      <c r="D349" t="s">
        <v>15</v>
      </c>
      <c r="E349">
        <v>19</v>
      </c>
      <c r="F349">
        <v>53</v>
      </c>
      <c r="G349">
        <v>17.8</v>
      </c>
      <c r="H349">
        <v>2.6</v>
      </c>
      <c r="I349">
        <v>2.6</v>
      </c>
      <c r="J349">
        <v>6.2</v>
      </c>
      <c r="K349" s="1">
        <v>3658800</v>
      </c>
      <c r="L349" t="s">
        <v>16</v>
      </c>
    </row>
    <row r="350" spans="1:12">
      <c r="A350" t="s">
        <v>397</v>
      </c>
      <c r="B350" t="s">
        <v>94</v>
      </c>
      <c r="C350" t="s">
        <v>14</v>
      </c>
      <c r="D350" t="s">
        <v>15</v>
      </c>
      <c r="E350">
        <v>23</v>
      </c>
      <c r="F350">
        <v>31</v>
      </c>
      <c r="G350">
        <v>21.7</v>
      </c>
      <c r="H350">
        <v>2.6</v>
      </c>
      <c r="I350">
        <v>2.2000000000000002</v>
      </c>
      <c r="J350">
        <v>6.2</v>
      </c>
      <c r="K350" s="1">
        <v>270668</v>
      </c>
      <c r="L350" t="s">
        <v>21</v>
      </c>
    </row>
    <row r="351" spans="1:12">
      <c r="A351" t="s">
        <v>398</v>
      </c>
      <c r="B351" t="s">
        <v>13</v>
      </c>
      <c r="C351" t="s">
        <v>14</v>
      </c>
      <c r="D351" t="s">
        <v>15</v>
      </c>
      <c r="E351">
        <v>21</v>
      </c>
      <c r="F351">
        <v>30</v>
      </c>
      <c r="G351">
        <v>12.5</v>
      </c>
      <c r="H351">
        <v>0.8</v>
      </c>
      <c r="I351">
        <v>1</v>
      </c>
      <c r="J351">
        <v>6.2</v>
      </c>
      <c r="K351" s="1">
        <v>13197</v>
      </c>
      <c r="L351" t="s">
        <v>21</v>
      </c>
    </row>
    <row r="352" spans="1:12">
      <c r="A352" t="s">
        <v>399</v>
      </c>
      <c r="B352" t="s">
        <v>70</v>
      </c>
      <c r="C352" t="s">
        <v>24</v>
      </c>
      <c r="D352" t="s">
        <v>15</v>
      </c>
      <c r="E352">
        <v>22</v>
      </c>
      <c r="F352">
        <v>76</v>
      </c>
      <c r="G352">
        <v>14</v>
      </c>
      <c r="H352">
        <v>1.9</v>
      </c>
      <c r="I352">
        <v>0.7</v>
      </c>
      <c r="J352">
        <v>6</v>
      </c>
      <c r="K352" s="1">
        <v>4990560</v>
      </c>
      <c r="L352" t="s">
        <v>21</v>
      </c>
    </row>
    <row r="353" spans="1:12">
      <c r="A353" t="s">
        <v>400</v>
      </c>
      <c r="B353" t="s">
        <v>27</v>
      </c>
      <c r="C353" t="s">
        <v>24</v>
      </c>
      <c r="D353" t="s">
        <v>25</v>
      </c>
      <c r="E353">
        <v>22</v>
      </c>
      <c r="F353">
        <v>64</v>
      </c>
      <c r="G353">
        <v>15.3</v>
      </c>
      <c r="H353">
        <v>1.5</v>
      </c>
      <c r="I353">
        <v>1.3</v>
      </c>
      <c r="J353">
        <v>6</v>
      </c>
      <c r="K353" s="1">
        <v>2048494</v>
      </c>
      <c r="L353" t="s">
        <v>21</v>
      </c>
    </row>
    <row r="354" spans="1:12">
      <c r="A354" t="s">
        <v>401</v>
      </c>
      <c r="B354" t="s">
        <v>39</v>
      </c>
      <c r="C354" t="s">
        <v>14</v>
      </c>
      <c r="D354" t="s">
        <v>15</v>
      </c>
      <c r="E354">
        <v>22</v>
      </c>
      <c r="F354">
        <v>1</v>
      </c>
      <c r="G354">
        <v>25</v>
      </c>
      <c r="H354">
        <v>0</v>
      </c>
      <c r="I354">
        <v>1</v>
      </c>
      <c r="J354">
        <v>6</v>
      </c>
      <c r="K354" s="1">
        <v>14631</v>
      </c>
      <c r="L354" t="s">
        <v>21</v>
      </c>
    </row>
    <row r="355" spans="1:12">
      <c r="A355" t="s">
        <v>402</v>
      </c>
      <c r="B355" t="s">
        <v>87</v>
      </c>
      <c r="C355" t="s">
        <v>24</v>
      </c>
      <c r="D355" t="s">
        <v>25</v>
      </c>
      <c r="E355">
        <v>20</v>
      </c>
      <c r="F355">
        <v>37</v>
      </c>
      <c r="G355">
        <v>15.5</v>
      </c>
      <c r="H355">
        <v>4</v>
      </c>
      <c r="I355">
        <v>0.7</v>
      </c>
      <c r="J355">
        <v>6</v>
      </c>
      <c r="K355" s="1">
        <v>7863240</v>
      </c>
      <c r="L355" t="s">
        <v>16</v>
      </c>
    </row>
    <row r="356" spans="1:12">
      <c r="A356" t="s">
        <v>403</v>
      </c>
      <c r="B356" t="s">
        <v>65</v>
      </c>
      <c r="C356" t="s">
        <v>24</v>
      </c>
      <c r="D356" t="s">
        <v>34</v>
      </c>
      <c r="E356">
        <v>26</v>
      </c>
      <c r="F356">
        <v>64</v>
      </c>
      <c r="G356">
        <v>15.2</v>
      </c>
      <c r="H356">
        <v>5</v>
      </c>
      <c r="I356">
        <v>1.3</v>
      </c>
      <c r="J356">
        <v>5.9</v>
      </c>
      <c r="K356" s="1">
        <v>8333333</v>
      </c>
      <c r="L356" t="s">
        <v>16</v>
      </c>
    </row>
    <row r="357" spans="1:12">
      <c r="A357" t="s">
        <v>404</v>
      </c>
      <c r="B357" t="s">
        <v>41</v>
      </c>
      <c r="C357" t="s">
        <v>14</v>
      </c>
      <c r="D357" t="s">
        <v>34</v>
      </c>
      <c r="E357">
        <v>25</v>
      </c>
      <c r="F357">
        <v>13</v>
      </c>
      <c r="G357">
        <v>11.8</v>
      </c>
      <c r="H357">
        <v>4.4000000000000004</v>
      </c>
      <c r="I357">
        <v>0.5</v>
      </c>
      <c r="J357">
        <v>5.8</v>
      </c>
      <c r="K357" s="1">
        <v>113171</v>
      </c>
      <c r="L357" t="s">
        <v>16</v>
      </c>
    </row>
    <row r="358" spans="1:12">
      <c r="A358" t="s">
        <v>405</v>
      </c>
      <c r="B358" t="s">
        <v>56</v>
      </c>
      <c r="C358" t="s">
        <v>24</v>
      </c>
      <c r="D358" t="s">
        <v>25</v>
      </c>
      <c r="E358">
        <v>26</v>
      </c>
      <c r="F358">
        <v>61</v>
      </c>
      <c r="G358">
        <v>15.8</v>
      </c>
      <c r="H358">
        <v>3</v>
      </c>
      <c r="I358">
        <v>1.3</v>
      </c>
      <c r="J358">
        <v>5.8</v>
      </c>
      <c r="K358" s="1">
        <v>2654880</v>
      </c>
      <c r="L358" t="s">
        <v>21</v>
      </c>
    </row>
    <row r="359" spans="1:12">
      <c r="A359" t="s">
        <v>406</v>
      </c>
      <c r="B359" t="s">
        <v>122</v>
      </c>
      <c r="C359" t="s">
        <v>24</v>
      </c>
      <c r="D359" t="s">
        <v>34</v>
      </c>
      <c r="E359">
        <v>28</v>
      </c>
      <c r="F359">
        <v>48</v>
      </c>
      <c r="G359">
        <v>14.6</v>
      </c>
      <c r="H359">
        <v>5.0999999999999996</v>
      </c>
      <c r="I359">
        <v>0.3</v>
      </c>
      <c r="J359">
        <v>5.8</v>
      </c>
      <c r="K359" s="1">
        <v>5000000</v>
      </c>
      <c r="L359" t="s">
        <v>16</v>
      </c>
    </row>
    <row r="360" spans="1:12">
      <c r="A360" t="s">
        <v>407</v>
      </c>
      <c r="B360" t="s">
        <v>47</v>
      </c>
      <c r="C360" t="s">
        <v>14</v>
      </c>
      <c r="D360" t="s">
        <v>34</v>
      </c>
      <c r="E360">
        <v>32</v>
      </c>
      <c r="F360">
        <v>32</v>
      </c>
      <c r="G360">
        <v>22.8</v>
      </c>
      <c r="H360">
        <v>8.6</v>
      </c>
      <c r="I360">
        <v>1.5</v>
      </c>
      <c r="J360">
        <v>5.8</v>
      </c>
      <c r="K360" s="1">
        <v>14130434</v>
      </c>
      <c r="L360" t="s">
        <v>16</v>
      </c>
    </row>
    <row r="361" spans="1:12">
      <c r="A361" t="s">
        <v>408</v>
      </c>
      <c r="B361" t="s">
        <v>18</v>
      </c>
      <c r="C361" t="s">
        <v>14</v>
      </c>
      <c r="D361" t="s">
        <v>34</v>
      </c>
      <c r="E361">
        <v>26</v>
      </c>
      <c r="F361">
        <v>42</v>
      </c>
      <c r="G361">
        <v>11.6</v>
      </c>
      <c r="H361">
        <v>3</v>
      </c>
      <c r="I361">
        <v>0.7</v>
      </c>
      <c r="J361">
        <v>5.8</v>
      </c>
      <c r="K361" s="1">
        <v>85300</v>
      </c>
      <c r="L361" t="s">
        <v>21</v>
      </c>
    </row>
    <row r="362" spans="1:12">
      <c r="A362" t="s">
        <v>409</v>
      </c>
      <c r="B362" t="s">
        <v>43</v>
      </c>
      <c r="C362" t="s">
        <v>14</v>
      </c>
      <c r="D362" t="s">
        <v>25</v>
      </c>
      <c r="E362">
        <v>23</v>
      </c>
      <c r="F362">
        <v>70</v>
      </c>
      <c r="G362">
        <v>19.399999999999999</v>
      </c>
      <c r="H362">
        <v>4.2</v>
      </c>
      <c r="I362">
        <v>1.5</v>
      </c>
      <c r="J362">
        <v>5.8</v>
      </c>
      <c r="K362" s="1">
        <v>2657760</v>
      </c>
      <c r="L362" t="s">
        <v>21</v>
      </c>
    </row>
    <row r="363" spans="1:12">
      <c r="A363" t="s">
        <v>410</v>
      </c>
      <c r="B363" t="s">
        <v>83</v>
      </c>
      <c r="C363" t="s">
        <v>24</v>
      </c>
      <c r="D363" t="s">
        <v>25</v>
      </c>
      <c r="E363">
        <v>33</v>
      </c>
      <c r="F363">
        <v>55</v>
      </c>
      <c r="G363">
        <v>17.3</v>
      </c>
      <c r="H363">
        <v>2.9</v>
      </c>
      <c r="I363">
        <v>1.3</v>
      </c>
      <c r="J363">
        <v>5.8</v>
      </c>
      <c r="K363" s="1">
        <v>2667947</v>
      </c>
      <c r="L363" t="s">
        <v>21</v>
      </c>
    </row>
    <row r="364" spans="1:12">
      <c r="A364" t="s">
        <v>411</v>
      </c>
      <c r="B364" t="s">
        <v>52</v>
      </c>
      <c r="C364" t="s">
        <v>14</v>
      </c>
      <c r="D364" t="s">
        <v>25</v>
      </c>
      <c r="E364">
        <v>25</v>
      </c>
      <c r="F364">
        <v>57</v>
      </c>
      <c r="G364">
        <v>23.4</v>
      </c>
      <c r="H364">
        <v>3.6</v>
      </c>
      <c r="I364">
        <v>1.4</v>
      </c>
      <c r="J364">
        <v>5.8</v>
      </c>
      <c r="K364" s="1">
        <v>3132000</v>
      </c>
      <c r="L364" t="s">
        <v>21</v>
      </c>
    </row>
    <row r="365" spans="1:12">
      <c r="A365" t="s">
        <v>412</v>
      </c>
      <c r="B365" t="s">
        <v>52</v>
      </c>
      <c r="C365" t="s">
        <v>14</v>
      </c>
      <c r="D365" t="s">
        <v>15</v>
      </c>
      <c r="E365">
        <v>28</v>
      </c>
      <c r="F365">
        <v>30</v>
      </c>
      <c r="G365">
        <v>16</v>
      </c>
      <c r="H365">
        <v>2</v>
      </c>
      <c r="I365">
        <v>0.9</v>
      </c>
      <c r="J365">
        <v>5.8</v>
      </c>
      <c r="K365" s="1">
        <v>11550000</v>
      </c>
      <c r="L365" t="s">
        <v>21</v>
      </c>
    </row>
    <row r="366" spans="1:12">
      <c r="A366" t="s">
        <v>413</v>
      </c>
      <c r="B366" t="s">
        <v>31</v>
      </c>
      <c r="C366" t="s">
        <v>24</v>
      </c>
      <c r="D366" t="s">
        <v>25</v>
      </c>
      <c r="E366">
        <v>25</v>
      </c>
      <c r="F366">
        <v>64</v>
      </c>
      <c r="G366">
        <v>15.7</v>
      </c>
      <c r="H366">
        <v>2.9</v>
      </c>
      <c r="I366">
        <v>0.8</v>
      </c>
      <c r="J366">
        <v>5.8</v>
      </c>
      <c r="K366" s="1">
        <v>718150</v>
      </c>
      <c r="L366" t="s">
        <v>21</v>
      </c>
    </row>
    <row r="367" spans="1:12">
      <c r="A367" t="s">
        <v>414</v>
      </c>
      <c r="B367" t="s">
        <v>31</v>
      </c>
      <c r="C367" t="s">
        <v>24</v>
      </c>
      <c r="D367" t="s">
        <v>25</v>
      </c>
      <c r="E367">
        <v>29</v>
      </c>
      <c r="F367">
        <v>59</v>
      </c>
      <c r="G367">
        <v>22.3</v>
      </c>
      <c r="H367">
        <v>4.2</v>
      </c>
      <c r="I367">
        <v>1.5</v>
      </c>
      <c r="J367">
        <v>5.8</v>
      </c>
      <c r="K367" s="1">
        <v>6623456</v>
      </c>
      <c r="L367" t="s">
        <v>21</v>
      </c>
    </row>
    <row r="368" spans="1:12">
      <c r="A368" t="s">
        <v>415</v>
      </c>
      <c r="B368" t="s">
        <v>43</v>
      </c>
      <c r="C368" t="s">
        <v>14</v>
      </c>
      <c r="D368" t="s">
        <v>15</v>
      </c>
      <c r="E368">
        <v>26</v>
      </c>
      <c r="F368">
        <v>46</v>
      </c>
      <c r="G368">
        <v>14</v>
      </c>
      <c r="H368">
        <v>1.8</v>
      </c>
      <c r="I368">
        <v>1.8</v>
      </c>
      <c r="J368">
        <v>5.7</v>
      </c>
      <c r="K368" s="1">
        <v>574210</v>
      </c>
      <c r="L368" t="s">
        <v>21</v>
      </c>
    </row>
    <row r="369" spans="1:12">
      <c r="A369" t="s">
        <v>416</v>
      </c>
      <c r="B369" t="s">
        <v>54</v>
      </c>
      <c r="C369" t="s">
        <v>24</v>
      </c>
      <c r="D369" t="s">
        <v>25</v>
      </c>
      <c r="E369">
        <v>25</v>
      </c>
      <c r="F369">
        <v>26</v>
      </c>
      <c r="G369">
        <v>13.4</v>
      </c>
      <c r="H369">
        <v>2.7</v>
      </c>
      <c r="I369">
        <v>0.9</v>
      </c>
      <c r="J369">
        <v>5.7</v>
      </c>
      <c r="K369" s="1">
        <v>792198</v>
      </c>
      <c r="L369" t="s">
        <v>21</v>
      </c>
    </row>
    <row r="370" spans="1:12">
      <c r="A370" t="s">
        <v>417</v>
      </c>
      <c r="B370" t="s">
        <v>72</v>
      </c>
      <c r="C370" t="s">
        <v>14</v>
      </c>
      <c r="D370" t="s">
        <v>25</v>
      </c>
      <c r="E370">
        <v>24</v>
      </c>
      <c r="F370">
        <v>62</v>
      </c>
      <c r="G370">
        <v>14.7</v>
      </c>
      <c r="H370">
        <v>3.7</v>
      </c>
      <c r="I370">
        <v>0.8</v>
      </c>
      <c r="J370">
        <v>5.7</v>
      </c>
      <c r="K370" s="1">
        <v>1830377</v>
      </c>
      <c r="L370" t="s">
        <v>16</v>
      </c>
    </row>
    <row r="371" spans="1:12">
      <c r="A371" t="s">
        <v>418</v>
      </c>
      <c r="B371" t="s">
        <v>100</v>
      </c>
      <c r="C371" t="s">
        <v>14</v>
      </c>
      <c r="D371" t="s">
        <v>25</v>
      </c>
      <c r="E371">
        <v>34</v>
      </c>
      <c r="F371">
        <v>29</v>
      </c>
      <c r="G371">
        <v>15.1</v>
      </c>
      <c r="H371">
        <v>1.3</v>
      </c>
      <c r="I371">
        <v>0.8</v>
      </c>
      <c r="J371">
        <v>5.7</v>
      </c>
      <c r="K371" s="1">
        <v>3634153</v>
      </c>
      <c r="L371" t="s">
        <v>21</v>
      </c>
    </row>
    <row r="372" spans="1:12">
      <c r="A372" t="s">
        <v>419</v>
      </c>
      <c r="B372" t="s">
        <v>72</v>
      </c>
      <c r="C372" t="s">
        <v>14</v>
      </c>
      <c r="D372" t="s">
        <v>34</v>
      </c>
      <c r="E372">
        <v>21</v>
      </c>
      <c r="F372">
        <v>66</v>
      </c>
      <c r="G372">
        <v>19.7</v>
      </c>
      <c r="H372">
        <v>5.8</v>
      </c>
      <c r="I372">
        <v>1.3</v>
      </c>
      <c r="J372">
        <v>5.7</v>
      </c>
      <c r="K372" s="1">
        <v>3353040</v>
      </c>
      <c r="L372" t="s">
        <v>16</v>
      </c>
    </row>
    <row r="373" spans="1:12">
      <c r="A373" t="s">
        <v>420</v>
      </c>
      <c r="B373" t="s">
        <v>45</v>
      </c>
      <c r="C373" t="s">
        <v>24</v>
      </c>
      <c r="D373" t="s">
        <v>34</v>
      </c>
      <c r="E373">
        <v>27</v>
      </c>
      <c r="F373">
        <v>60</v>
      </c>
      <c r="G373">
        <v>19.600000000000001</v>
      </c>
      <c r="H373">
        <v>8.8000000000000007</v>
      </c>
      <c r="I373">
        <v>0.9</v>
      </c>
      <c r="J373">
        <v>5.7</v>
      </c>
      <c r="K373" s="1">
        <v>12954546</v>
      </c>
      <c r="L373" t="s">
        <v>21</v>
      </c>
    </row>
    <row r="374" spans="1:12">
      <c r="A374" t="s">
        <v>421</v>
      </c>
      <c r="B374" t="s">
        <v>122</v>
      </c>
      <c r="C374" t="s">
        <v>24</v>
      </c>
      <c r="D374" t="s">
        <v>34</v>
      </c>
      <c r="E374">
        <v>30</v>
      </c>
      <c r="F374">
        <v>67</v>
      </c>
      <c r="G374">
        <v>15</v>
      </c>
      <c r="H374">
        <v>3.5</v>
      </c>
      <c r="I374">
        <v>0.9</v>
      </c>
      <c r="J374">
        <v>5.6</v>
      </c>
      <c r="K374" s="1">
        <v>5500000</v>
      </c>
      <c r="L374" t="s">
        <v>16</v>
      </c>
    </row>
    <row r="375" spans="1:12">
      <c r="A375" t="s">
        <v>422</v>
      </c>
      <c r="B375" t="s">
        <v>20</v>
      </c>
      <c r="C375" t="s">
        <v>14</v>
      </c>
      <c r="D375" t="s">
        <v>15</v>
      </c>
      <c r="E375">
        <v>25</v>
      </c>
      <c r="F375">
        <v>43</v>
      </c>
      <c r="G375">
        <v>12.5</v>
      </c>
      <c r="H375">
        <v>1.1000000000000001</v>
      </c>
      <c r="I375">
        <v>0.9</v>
      </c>
      <c r="J375">
        <v>5.6</v>
      </c>
      <c r="K375" s="1">
        <v>2674080</v>
      </c>
      <c r="L375" t="s">
        <v>21</v>
      </c>
    </row>
    <row r="376" spans="1:12">
      <c r="A376" t="s">
        <v>423</v>
      </c>
      <c r="B376" t="s">
        <v>68</v>
      </c>
      <c r="C376" t="s">
        <v>24</v>
      </c>
      <c r="D376" t="s">
        <v>15</v>
      </c>
      <c r="E376">
        <v>28</v>
      </c>
      <c r="F376">
        <v>70</v>
      </c>
      <c r="G376">
        <v>16.3</v>
      </c>
      <c r="H376">
        <v>2.5</v>
      </c>
      <c r="I376">
        <v>2.6</v>
      </c>
      <c r="J376">
        <v>5.6</v>
      </c>
      <c r="K376" s="1">
        <v>2378870</v>
      </c>
      <c r="L376" t="s">
        <v>21</v>
      </c>
    </row>
    <row r="377" spans="1:12">
      <c r="A377" t="s">
        <v>424</v>
      </c>
      <c r="B377" t="s">
        <v>27</v>
      </c>
      <c r="C377" t="s">
        <v>24</v>
      </c>
      <c r="D377" t="s">
        <v>15</v>
      </c>
      <c r="E377">
        <v>37</v>
      </c>
      <c r="F377">
        <v>6</v>
      </c>
      <c r="G377">
        <v>12.3</v>
      </c>
      <c r="H377">
        <v>0.3</v>
      </c>
      <c r="I377">
        <v>0.5</v>
      </c>
      <c r="J377">
        <v>5.5</v>
      </c>
      <c r="K377" s="1">
        <v>3634153</v>
      </c>
      <c r="L377" t="s">
        <v>21</v>
      </c>
    </row>
    <row r="378" spans="1:12">
      <c r="A378" t="s">
        <v>425</v>
      </c>
      <c r="B378" t="s">
        <v>100</v>
      </c>
      <c r="C378" t="s">
        <v>14</v>
      </c>
      <c r="D378" t="s">
        <v>15</v>
      </c>
      <c r="E378">
        <v>24</v>
      </c>
      <c r="F378">
        <v>23</v>
      </c>
      <c r="G378">
        <v>17.7</v>
      </c>
      <c r="H378">
        <v>2.2999999999999998</v>
      </c>
      <c r="I378">
        <v>3.5</v>
      </c>
      <c r="J378">
        <v>5.5</v>
      </c>
      <c r="K378" s="1">
        <v>444658</v>
      </c>
      <c r="L378" t="s">
        <v>21</v>
      </c>
    </row>
    <row r="379" spans="1:12">
      <c r="A379" t="s">
        <v>426</v>
      </c>
      <c r="B379" t="s">
        <v>47</v>
      </c>
      <c r="C379" t="s">
        <v>14</v>
      </c>
      <c r="D379" t="s">
        <v>15</v>
      </c>
      <c r="E379">
        <v>29</v>
      </c>
      <c r="F379">
        <v>57</v>
      </c>
      <c r="G379">
        <v>13.7</v>
      </c>
      <c r="H379">
        <v>1</v>
      </c>
      <c r="I379">
        <v>1.1000000000000001</v>
      </c>
      <c r="J379">
        <v>5.5</v>
      </c>
      <c r="K379" s="1">
        <v>3080921</v>
      </c>
      <c r="L379" t="s">
        <v>21</v>
      </c>
    </row>
    <row r="380" spans="1:12">
      <c r="A380" t="s">
        <v>427</v>
      </c>
      <c r="B380" t="s">
        <v>65</v>
      </c>
      <c r="C380" t="s">
        <v>24</v>
      </c>
      <c r="D380" t="s">
        <v>25</v>
      </c>
      <c r="E380">
        <v>22</v>
      </c>
      <c r="F380">
        <v>55</v>
      </c>
      <c r="G380">
        <v>12.6</v>
      </c>
      <c r="H380">
        <v>1.6</v>
      </c>
      <c r="I380">
        <v>0.8</v>
      </c>
      <c r="J380">
        <v>5.5</v>
      </c>
      <c r="K380" s="1">
        <v>5529720</v>
      </c>
      <c r="L380" t="s">
        <v>21</v>
      </c>
    </row>
    <row r="381" spans="1:12">
      <c r="A381" t="s">
        <v>428</v>
      </c>
      <c r="B381" t="s">
        <v>33</v>
      </c>
      <c r="C381" t="s">
        <v>14</v>
      </c>
      <c r="D381" t="s">
        <v>25</v>
      </c>
      <c r="E381">
        <v>24</v>
      </c>
      <c r="F381">
        <v>64</v>
      </c>
      <c r="G381">
        <v>22.1</v>
      </c>
      <c r="H381">
        <v>3.3</v>
      </c>
      <c r="I381">
        <v>0.8</v>
      </c>
      <c r="J381">
        <v>5.5</v>
      </c>
      <c r="K381" s="1">
        <v>623967</v>
      </c>
      <c r="L381" t="s">
        <v>21</v>
      </c>
    </row>
    <row r="382" spans="1:12">
      <c r="A382" t="s">
        <v>429</v>
      </c>
      <c r="B382" t="s">
        <v>87</v>
      </c>
      <c r="C382" t="s">
        <v>24</v>
      </c>
      <c r="D382" t="s">
        <v>15</v>
      </c>
      <c r="E382">
        <v>24</v>
      </c>
      <c r="F382">
        <v>53</v>
      </c>
      <c r="G382">
        <v>12.6</v>
      </c>
      <c r="H382">
        <v>1.7</v>
      </c>
      <c r="I382">
        <v>1.6</v>
      </c>
      <c r="J382">
        <v>5.5</v>
      </c>
      <c r="K382" s="1">
        <v>8000000</v>
      </c>
      <c r="L382" t="s">
        <v>21</v>
      </c>
    </row>
    <row r="383" spans="1:12">
      <c r="A383" t="s">
        <v>430</v>
      </c>
      <c r="B383" t="s">
        <v>23</v>
      </c>
      <c r="C383" t="s">
        <v>24</v>
      </c>
      <c r="D383" t="s">
        <v>15</v>
      </c>
      <c r="E383">
        <v>25</v>
      </c>
      <c r="F383">
        <v>77</v>
      </c>
      <c r="G383">
        <v>18.600000000000001</v>
      </c>
      <c r="H383">
        <v>3.5</v>
      </c>
      <c r="I383">
        <v>1.5</v>
      </c>
      <c r="J383">
        <v>5.5</v>
      </c>
      <c r="K383" s="1">
        <v>2619000</v>
      </c>
      <c r="L383" t="s">
        <v>21</v>
      </c>
    </row>
    <row r="384" spans="1:12">
      <c r="A384" t="s">
        <v>431</v>
      </c>
      <c r="B384" t="s">
        <v>65</v>
      </c>
      <c r="C384" t="s">
        <v>24</v>
      </c>
      <c r="D384" t="s">
        <v>25</v>
      </c>
      <c r="E384">
        <v>26</v>
      </c>
      <c r="F384">
        <v>40</v>
      </c>
      <c r="G384">
        <v>12.2</v>
      </c>
      <c r="H384">
        <v>2</v>
      </c>
      <c r="I384">
        <v>0.7</v>
      </c>
      <c r="J384">
        <v>5.4</v>
      </c>
      <c r="K384" s="1">
        <v>328120</v>
      </c>
      <c r="L384" t="s">
        <v>21</v>
      </c>
    </row>
    <row r="385" spans="1:12">
      <c r="A385" t="s">
        <v>432</v>
      </c>
      <c r="B385" t="s">
        <v>100</v>
      </c>
      <c r="C385" t="s">
        <v>14</v>
      </c>
      <c r="D385" t="s">
        <v>34</v>
      </c>
      <c r="E385">
        <v>24</v>
      </c>
      <c r="F385">
        <v>44</v>
      </c>
      <c r="G385">
        <v>20.6</v>
      </c>
      <c r="H385">
        <v>7.5</v>
      </c>
      <c r="I385">
        <v>1.4</v>
      </c>
      <c r="J385">
        <v>5.4</v>
      </c>
      <c r="K385" s="1">
        <v>871000</v>
      </c>
      <c r="L385" t="s">
        <v>21</v>
      </c>
    </row>
    <row r="386" spans="1:12">
      <c r="A386" t="s">
        <v>433</v>
      </c>
      <c r="B386" t="s">
        <v>43</v>
      </c>
      <c r="C386" t="s">
        <v>14</v>
      </c>
      <c r="D386" t="s">
        <v>25</v>
      </c>
      <c r="E386">
        <v>29</v>
      </c>
      <c r="F386">
        <v>7</v>
      </c>
      <c r="G386">
        <v>13</v>
      </c>
      <c r="H386">
        <v>1.9</v>
      </c>
      <c r="I386">
        <v>1</v>
      </c>
      <c r="J386">
        <v>5.4</v>
      </c>
      <c r="K386" s="1">
        <v>827984</v>
      </c>
      <c r="L386" t="s">
        <v>21</v>
      </c>
    </row>
    <row r="387" spans="1:12">
      <c r="A387" t="s">
        <v>434</v>
      </c>
      <c r="B387" t="s">
        <v>87</v>
      </c>
      <c r="C387" t="s">
        <v>24</v>
      </c>
      <c r="D387" t="s">
        <v>15</v>
      </c>
      <c r="E387">
        <v>23</v>
      </c>
      <c r="F387">
        <v>82</v>
      </c>
      <c r="G387">
        <v>22.5</v>
      </c>
      <c r="H387">
        <v>3.5</v>
      </c>
      <c r="I387">
        <v>2</v>
      </c>
      <c r="J387">
        <v>5.4</v>
      </c>
      <c r="K387" s="1">
        <v>2296274</v>
      </c>
      <c r="L387" t="s">
        <v>21</v>
      </c>
    </row>
    <row r="388" spans="1:12">
      <c r="A388" t="s">
        <v>435</v>
      </c>
      <c r="B388" t="s">
        <v>36</v>
      </c>
      <c r="C388" t="s">
        <v>24</v>
      </c>
      <c r="D388" t="s">
        <v>25</v>
      </c>
      <c r="E388">
        <v>25</v>
      </c>
      <c r="F388">
        <v>47</v>
      </c>
      <c r="G388">
        <v>15.7</v>
      </c>
      <c r="H388">
        <v>2.7</v>
      </c>
      <c r="I388">
        <v>1</v>
      </c>
      <c r="J388">
        <v>5.4</v>
      </c>
      <c r="K388" s="1">
        <v>600000</v>
      </c>
      <c r="L388" t="s">
        <v>21</v>
      </c>
    </row>
    <row r="389" spans="1:12">
      <c r="A389" t="s">
        <v>436</v>
      </c>
      <c r="B389" t="s">
        <v>31</v>
      </c>
      <c r="C389" t="s">
        <v>24</v>
      </c>
      <c r="D389" t="s">
        <v>15</v>
      </c>
      <c r="E389">
        <v>21</v>
      </c>
      <c r="F389">
        <v>50</v>
      </c>
      <c r="G389">
        <v>10.9</v>
      </c>
      <c r="H389">
        <v>1.3</v>
      </c>
      <c r="I389">
        <v>1.5</v>
      </c>
      <c r="J389">
        <v>5.4</v>
      </c>
      <c r="K389" s="1">
        <v>1272870</v>
      </c>
      <c r="L389" t="s">
        <v>16</v>
      </c>
    </row>
    <row r="390" spans="1:12">
      <c r="A390" t="s">
        <v>437</v>
      </c>
      <c r="B390" t="s">
        <v>23</v>
      </c>
      <c r="C390" t="s">
        <v>24</v>
      </c>
      <c r="D390" t="s">
        <v>25</v>
      </c>
      <c r="E390">
        <v>21</v>
      </c>
      <c r="F390">
        <v>68</v>
      </c>
      <c r="G390">
        <v>17.8</v>
      </c>
      <c r="H390">
        <v>4</v>
      </c>
      <c r="I390">
        <v>0.8</v>
      </c>
      <c r="J390">
        <v>5.4</v>
      </c>
      <c r="K390" s="1">
        <v>2221677</v>
      </c>
      <c r="L390" t="s">
        <v>21</v>
      </c>
    </row>
    <row r="391" spans="1:12">
      <c r="A391" t="s">
        <v>438</v>
      </c>
      <c r="B391" t="s">
        <v>72</v>
      </c>
      <c r="C391" t="s">
        <v>14</v>
      </c>
      <c r="D391" t="s">
        <v>15</v>
      </c>
      <c r="E391">
        <v>22</v>
      </c>
      <c r="F391">
        <v>9</v>
      </c>
      <c r="G391">
        <v>12.3</v>
      </c>
      <c r="H391">
        <v>1.2</v>
      </c>
      <c r="I391">
        <v>1</v>
      </c>
      <c r="J391">
        <v>5.2</v>
      </c>
      <c r="K391" s="1">
        <v>85300</v>
      </c>
      <c r="L391" t="s">
        <v>21</v>
      </c>
    </row>
    <row r="392" spans="1:12">
      <c r="A392" t="s">
        <v>439</v>
      </c>
      <c r="B392" t="s">
        <v>100</v>
      </c>
      <c r="C392" t="s">
        <v>14</v>
      </c>
      <c r="D392" t="s">
        <v>34</v>
      </c>
      <c r="E392">
        <v>28</v>
      </c>
      <c r="F392">
        <v>42</v>
      </c>
      <c r="G392">
        <v>13.1</v>
      </c>
      <c r="H392">
        <v>3</v>
      </c>
      <c r="I392">
        <v>0.5</v>
      </c>
      <c r="J392">
        <v>5.2</v>
      </c>
      <c r="K392" s="1">
        <v>3080921</v>
      </c>
      <c r="L392" t="s">
        <v>21</v>
      </c>
    </row>
    <row r="393" spans="1:12">
      <c r="A393" t="s">
        <v>440</v>
      </c>
      <c r="B393" t="s">
        <v>39</v>
      </c>
      <c r="C393" t="s">
        <v>14</v>
      </c>
      <c r="D393" t="s">
        <v>25</v>
      </c>
      <c r="E393">
        <v>25</v>
      </c>
      <c r="F393">
        <v>5</v>
      </c>
      <c r="G393">
        <v>33.799999999999997</v>
      </c>
      <c r="H393">
        <v>8.4</v>
      </c>
      <c r="I393">
        <v>2.8</v>
      </c>
      <c r="J393">
        <v>5.2</v>
      </c>
      <c r="K393" s="1">
        <v>73153</v>
      </c>
      <c r="L393" t="s">
        <v>16</v>
      </c>
    </row>
    <row r="394" spans="1:12">
      <c r="A394" t="s">
        <v>441</v>
      </c>
      <c r="B394" t="s">
        <v>56</v>
      </c>
      <c r="C394" t="s">
        <v>24</v>
      </c>
      <c r="D394" t="s">
        <v>15</v>
      </c>
      <c r="E394">
        <v>29</v>
      </c>
      <c r="F394">
        <v>15</v>
      </c>
      <c r="G394">
        <v>13.1</v>
      </c>
      <c r="H394">
        <v>1.1000000000000001</v>
      </c>
      <c r="I394">
        <v>0.7</v>
      </c>
      <c r="J394">
        <v>5.2</v>
      </c>
      <c r="K394" s="1">
        <v>297355</v>
      </c>
      <c r="L394" t="s">
        <v>21</v>
      </c>
    </row>
    <row r="395" spans="1:12">
      <c r="A395" t="s">
        <v>442</v>
      </c>
      <c r="B395" t="s">
        <v>63</v>
      </c>
      <c r="C395" t="s">
        <v>24</v>
      </c>
      <c r="D395" t="s">
        <v>25</v>
      </c>
      <c r="E395">
        <v>20</v>
      </c>
      <c r="F395">
        <v>44</v>
      </c>
      <c r="G395">
        <v>11.4</v>
      </c>
      <c r="H395">
        <v>2.2000000000000002</v>
      </c>
      <c r="I395">
        <v>0.6</v>
      </c>
      <c r="J395">
        <v>5.2</v>
      </c>
      <c r="K395" s="1">
        <v>3237480</v>
      </c>
      <c r="L395" t="s">
        <v>21</v>
      </c>
    </row>
    <row r="396" spans="1:12">
      <c r="A396" t="s">
        <v>443</v>
      </c>
      <c r="B396" t="s">
        <v>33</v>
      </c>
      <c r="C396" t="s">
        <v>14</v>
      </c>
      <c r="D396" t="s">
        <v>15</v>
      </c>
      <c r="E396">
        <v>26</v>
      </c>
      <c r="F396">
        <v>50</v>
      </c>
      <c r="G396">
        <v>16.100000000000001</v>
      </c>
      <c r="H396">
        <v>2.2999999999999998</v>
      </c>
      <c r="I396">
        <v>2.2999999999999998</v>
      </c>
      <c r="J396">
        <v>5.2</v>
      </c>
      <c r="K396" s="1">
        <v>2221677</v>
      </c>
      <c r="L396" t="s">
        <v>21</v>
      </c>
    </row>
    <row r="397" spans="1:12">
      <c r="A397" t="s">
        <v>444</v>
      </c>
      <c r="B397" t="s">
        <v>58</v>
      </c>
      <c r="C397" t="s">
        <v>24</v>
      </c>
      <c r="D397" t="s">
        <v>15</v>
      </c>
      <c r="E397">
        <v>25</v>
      </c>
      <c r="F397">
        <v>38</v>
      </c>
      <c r="G397">
        <v>12</v>
      </c>
      <c r="H397">
        <v>1</v>
      </c>
      <c r="I397">
        <v>2</v>
      </c>
      <c r="J397">
        <v>5.2</v>
      </c>
      <c r="K397" s="1">
        <v>2886720</v>
      </c>
      <c r="L397" t="s">
        <v>21</v>
      </c>
    </row>
    <row r="398" spans="1:12">
      <c r="A398" t="s">
        <v>445</v>
      </c>
      <c r="B398" t="s">
        <v>18</v>
      </c>
      <c r="C398" t="s">
        <v>14</v>
      </c>
      <c r="D398" t="s">
        <v>15</v>
      </c>
      <c r="E398">
        <v>20</v>
      </c>
      <c r="F398">
        <v>10</v>
      </c>
      <c r="G398">
        <v>16</v>
      </c>
      <c r="H398">
        <v>1.9</v>
      </c>
      <c r="I398">
        <v>4.4000000000000004</v>
      </c>
      <c r="J398">
        <v>5.2</v>
      </c>
      <c r="K398" s="1">
        <v>5182920</v>
      </c>
      <c r="L398" t="s">
        <v>16</v>
      </c>
    </row>
    <row r="399" spans="1:12">
      <c r="A399" t="s">
        <v>446</v>
      </c>
      <c r="B399" t="s">
        <v>54</v>
      </c>
      <c r="C399" t="s">
        <v>24</v>
      </c>
      <c r="D399" t="s">
        <v>15</v>
      </c>
      <c r="E399">
        <v>25</v>
      </c>
      <c r="F399">
        <v>62</v>
      </c>
      <c r="G399">
        <v>15.7</v>
      </c>
      <c r="H399">
        <v>2.2999999999999998</v>
      </c>
      <c r="I399">
        <v>0.8</v>
      </c>
      <c r="J399">
        <v>5.0999999999999996</v>
      </c>
      <c r="K399" s="1">
        <v>6383525</v>
      </c>
      <c r="L399" t="s">
        <v>21</v>
      </c>
    </row>
    <row r="400" spans="1:12">
      <c r="A400" t="s">
        <v>447</v>
      </c>
      <c r="B400" t="s">
        <v>52</v>
      </c>
      <c r="C400" t="s">
        <v>14</v>
      </c>
      <c r="D400" t="s">
        <v>25</v>
      </c>
      <c r="E400">
        <v>21</v>
      </c>
      <c r="F400">
        <v>75</v>
      </c>
      <c r="G400">
        <v>19.100000000000001</v>
      </c>
      <c r="H400">
        <v>2.2000000000000002</v>
      </c>
      <c r="I400">
        <v>1.5</v>
      </c>
      <c r="J400">
        <v>5.0999999999999996</v>
      </c>
      <c r="K400" s="1">
        <v>686243</v>
      </c>
      <c r="L400" t="s">
        <v>16</v>
      </c>
    </row>
    <row r="401" spans="1:12">
      <c r="A401" t="s">
        <v>448</v>
      </c>
      <c r="B401" t="s">
        <v>56</v>
      </c>
      <c r="C401" t="s">
        <v>24</v>
      </c>
      <c r="D401" t="s">
        <v>15</v>
      </c>
      <c r="E401">
        <v>21</v>
      </c>
      <c r="F401">
        <v>35</v>
      </c>
      <c r="G401">
        <v>18.399999999999999</v>
      </c>
      <c r="H401">
        <v>4.4000000000000004</v>
      </c>
      <c r="I401">
        <v>1.2</v>
      </c>
      <c r="J401">
        <v>5.0999999999999996</v>
      </c>
      <c r="K401" s="1">
        <v>1955377</v>
      </c>
      <c r="L401" t="s">
        <v>16</v>
      </c>
    </row>
    <row r="402" spans="1:12">
      <c r="A402" t="s">
        <v>449</v>
      </c>
      <c r="B402" t="s">
        <v>72</v>
      </c>
      <c r="C402" t="s">
        <v>14</v>
      </c>
      <c r="D402" t="s">
        <v>15</v>
      </c>
      <c r="E402">
        <v>23</v>
      </c>
      <c r="F402">
        <v>51</v>
      </c>
      <c r="G402">
        <v>13.6</v>
      </c>
      <c r="H402">
        <v>1.7</v>
      </c>
      <c r="I402">
        <v>0.8</v>
      </c>
      <c r="J402">
        <v>5.0999999999999996</v>
      </c>
      <c r="K402" s="1">
        <v>4741320</v>
      </c>
      <c r="L402" t="s">
        <v>21</v>
      </c>
    </row>
    <row r="403" spans="1:12">
      <c r="A403" t="s">
        <v>450</v>
      </c>
      <c r="B403" t="s">
        <v>36</v>
      </c>
      <c r="C403" t="s">
        <v>24</v>
      </c>
      <c r="D403" t="s">
        <v>34</v>
      </c>
      <c r="E403">
        <v>27</v>
      </c>
      <c r="F403">
        <v>67</v>
      </c>
      <c r="G403">
        <v>19.7</v>
      </c>
      <c r="H403">
        <v>5.5</v>
      </c>
      <c r="I403">
        <v>1.6</v>
      </c>
      <c r="J403">
        <v>5</v>
      </c>
      <c r="K403" s="1">
        <v>2461463</v>
      </c>
      <c r="L403" t="s">
        <v>21</v>
      </c>
    </row>
    <row r="404" spans="1:12">
      <c r="A404" t="s">
        <v>451</v>
      </c>
      <c r="B404" t="s">
        <v>27</v>
      </c>
      <c r="C404" t="s">
        <v>24</v>
      </c>
      <c r="D404" t="s">
        <v>34</v>
      </c>
      <c r="E404">
        <v>22</v>
      </c>
      <c r="F404">
        <v>71</v>
      </c>
      <c r="G404">
        <v>17.399999999999999</v>
      </c>
      <c r="H404">
        <v>4.3</v>
      </c>
      <c r="I404">
        <v>0.5</v>
      </c>
      <c r="J404">
        <v>4.8</v>
      </c>
      <c r="K404" s="1">
        <v>1955377</v>
      </c>
      <c r="L404" t="s">
        <v>16</v>
      </c>
    </row>
    <row r="405" spans="1:12">
      <c r="A405" t="s">
        <v>452</v>
      </c>
      <c r="B405" t="s">
        <v>52</v>
      </c>
      <c r="C405" t="s">
        <v>14</v>
      </c>
      <c r="D405" t="s">
        <v>15</v>
      </c>
      <c r="E405">
        <v>22</v>
      </c>
      <c r="F405">
        <v>31</v>
      </c>
      <c r="G405">
        <v>11.6</v>
      </c>
      <c r="H405">
        <v>1.3</v>
      </c>
      <c r="I405">
        <v>2</v>
      </c>
      <c r="J405">
        <v>4.8</v>
      </c>
      <c r="K405" s="1">
        <v>2378870</v>
      </c>
      <c r="L405" t="s">
        <v>21</v>
      </c>
    </row>
    <row r="406" spans="1:12">
      <c r="A406" t="s">
        <v>453</v>
      </c>
      <c r="B406" t="s">
        <v>75</v>
      </c>
      <c r="C406" t="s">
        <v>14</v>
      </c>
      <c r="D406" t="s">
        <v>25</v>
      </c>
      <c r="E406">
        <v>21</v>
      </c>
      <c r="F406">
        <v>12</v>
      </c>
      <c r="G406">
        <v>13.8</v>
      </c>
      <c r="H406">
        <v>2.8</v>
      </c>
      <c r="I406">
        <v>0.4</v>
      </c>
      <c r="J406">
        <v>4.7</v>
      </c>
      <c r="K406" s="1">
        <v>2197957</v>
      </c>
      <c r="L406" t="s">
        <v>21</v>
      </c>
    </row>
    <row r="407" spans="1:12">
      <c r="A407" t="s">
        <v>454</v>
      </c>
      <c r="B407" t="s">
        <v>31</v>
      </c>
      <c r="C407" t="s">
        <v>24</v>
      </c>
      <c r="D407" t="s">
        <v>15</v>
      </c>
      <c r="E407">
        <v>28</v>
      </c>
      <c r="F407">
        <v>35</v>
      </c>
      <c r="G407">
        <v>20.8</v>
      </c>
      <c r="H407">
        <v>4</v>
      </c>
      <c r="I407">
        <v>3.9</v>
      </c>
      <c r="J407">
        <v>4.5999999999999996</v>
      </c>
      <c r="K407" s="1">
        <v>10000000</v>
      </c>
      <c r="L407" t="s">
        <v>21</v>
      </c>
    </row>
    <row r="408" spans="1:12">
      <c r="A408" t="s">
        <v>455</v>
      </c>
      <c r="B408" t="s">
        <v>83</v>
      </c>
      <c r="C408" t="s">
        <v>24</v>
      </c>
      <c r="D408" t="s">
        <v>15</v>
      </c>
      <c r="E408">
        <v>22</v>
      </c>
      <c r="F408">
        <v>28</v>
      </c>
      <c r="G408">
        <v>9.8000000000000007</v>
      </c>
      <c r="H408">
        <v>1.6</v>
      </c>
      <c r="I408">
        <v>0.8</v>
      </c>
      <c r="J408">
        <v>4.5999999999999996</v>
      </c>
      <c r="K408" s="1">
        <v>4933515</v>
      </c>
      <c r="L408" t="s">
        <v>21</v>
      </c>
    </row>
    <row r="409" spans="1:12">
      <c r="A409" t="s">
        <v>456</v>
      </c>
      <c r="B409" t="s">
        <v>20</v>
      </c>
      <c r="C409" t="s">
        <v>14</v>
      </c>
      <c r="D409" t="s">
        <v>15</v>
      </c>
      <c r="E409">
        <v>24</v>
      </c>
      <c r="F409">
        <v>5</v>
      </c>
      <c r="G409">
        <v>8.6</v>
      </c>
      <c r="H409">
        <v>0.6</v>
      </c>
      <c r="I409">
        <v>1.8</v>
      </c>
      <c r="J409">
        <v>4.5999999999999996</v>
      </c>
      <c r="K409" s="1">
        <v>157280</v>
      </c>
      <c r="L409" t="s">
        <v>21</v>
      </c>
    </row>
    <row r="410" spans="1:12">
      <c r="A410" t="s">
        <v>457</v>
      </c>
      <c r="B410" t="s">
        <v>87</v>
      </c>
      <c r="C410" t="s">
        <v>24</v>
      </c>
      <c r="D410" t="s">
        <v>34</v>
      </c>
      <c r="E410">
        <v>23</v>
      </c>
      <c r="F410">
        <v>19</v>
      </c>
      <c r="G410">
        <v>11.3</v>
      </c>
      <c r="H410">
        <v>3.9</v>
      </c>
      <c r="I410">
        <v>0.5</v>
      </c>
      <c r="J410">
        <v>4.5</v>
      </c>
      <c r="K410" s="1">
        <v>85300</v>
      </c>
      <c r="L410" t="s">
        <v>21</v>
      </c>
    </row>
    <row r="411" spans="1:12">
      <c r="A411" t="s">
        <v>458</v>
      </c>
      <c r="B411" t="s">
        <v>75</v>
      </c>
      <c r="C411" t="s">
        <v>14</v>
      </c>
      <c r="D411" t="s">
        <v>34</v>
      </c>
      <c r="E411">
        <v>23</v>
      </c>
      <c r="F411">
        <v>38</v>
      </c>
      <c r="G411">
        <v>13.9</v>
      </c>
      <c r="H411">
        <v>5.7</v>
      </c>
      <c r="I411">
        <v>0.2</v>
      </c>
      <c r="J411">
        <v>4.5</v>
      </c>
      <c r="K411" s="1">
        <v>85300</v>
      </c>
      <c r="L411" t="s">
        <v>16</v>
      </c>
    </row>
    <row r="412" spans="1:12">
      <c r="A412" t="s">
        <v>459</v>
      </c>
      <c r="B412" t="s">
        <v>20</v>
      </c>
      <c r="C412" t="s">
        <v>14</v>
      </c>
      <c r="D412" t="s">
        <v>15</v>
      </c>
      <c r="E412">
        <v>38</v>
      </c>
      <c r="F412">
        <v>54</v>
      </c>
      <c r="G412">
        <v>18.399999999999999</v>
      </c>
      <c r="H412">
        <v>1.7</v>
      </c>
      <c r="I412">
        <v>2.9</v>
      </c>
      <c r="J412">
        <v>4.5</v>
      </c>
      <c r="K412" s="1">
        <v>1148727</v>
      </c>
      <c r="L412" t="s">
        <v>21</v>
      </c>
    </row>
    <row r="413" spans="1:12">
      <c r="A413" t="s">
        <v>460</v>
      </c>
      <c r="B413" t="s">
        <v>47</v>
      </c>
      <c r="C413" t="s">
        <v>14</v>
      </c>
      <c r="D413" t="s">
        <v>15</v>
      </c>
      <c r="E413">
        <v>27</v>
      </c>
      <c r="F413">
        <v>78</v>
      </c>
      <c r="G413">
        <v>17.399999999999999</v>
      </c>
      <c r="H413">
        <v>2.6</v>
      </c>
      <c r="I413">
        <v>0.9</v>
      </c>
      <c r="J413">
        <v>4.5</v>
      </c>
      <c r="K413" s="1">
        <v>3080921</v>
      </c>
      <c r="L413" t="s">
        <v>16</v>
      </c>
    </row>
    <row r="414" spans="1:12">
      <c r="A414" t="s">
        <v>461</v>
      </c>
      <c r="B414" t="s">
        <v>56</v>
      </c>
      <c r="C414" t="s">
        <v>24</v>
      </c>
      <c r="D414" t="s">
        <v>15</v>
      </c>
      <c r="E414">
        <v>23</v>
      </c>
      <c r="F414">
        <v>38</v>
      </c>
      <c r="G414">
        <v>12.9</v>
      </c>
      <c r="H414">
        <v>1.6</v>
      </c>
      <c r="I414">
        <v>1.1000000000000001</v>
      </c>
      <c r="J414">
        <v>4.5</v>
      </c>
      <c r="K414" s="1">
        <v>85300</v>
      </c>
      <c r="L414" t="s">
        <v>21</v>
      </c>
    </row>
    <row r="415" spans="1:12">
      <c r="A415" t="s">
        <v>462</v>
      </c>
      <c r="B415" t="s">
        <v>31</v>
      </c>
      <c r="C415" t="s">
        <v>24</v>
      </c>
      <c r="D415" t="s">
        <v>15</v>
      </c>
      <c r="E415">
        <v>25</v>
      </c>
      <c r="F415">
        <v>64</v>
      </c>
      <c r="G415">
        <v>17.899999999999999</v>
      </c>
      <c r="H415">
        <v>3.4</v>
      </c>
      <c r="I415">
        <v>3.2</v>
      </c>
      <c r="J415">
        <v>4.5</v>
      </c>
      <c r="K415" s="1">
        <v>2221677</v>
      </c>
      <c r="L415" t="s">
        <v>21</v>
      </c>
    </row>
    <row r="416" spans="1:12">
      <c r="A416" t="s">
        <v>463</v>
      </c>
      <c r="B416" t="s">
        <v>39</v>
      </c>
      <c r="C416" t="s">
        <v>14</v>
      </c>
      <c r="D416" t="s">
        <v>15</v>
      </c>
      <c r="E416">
        <v>29</v>
      </c>
      <c r="F416">
        <v>56</v>
      </c>
      <c r="G416">
        <v>19.899999999999999</v>
      </c>
      <c r="H416">
        <v>4.3</v>
      </c>
      <c r="I416">
        <v>2.1</v>
      </c>
      <c r="J416">
        <v>4.4000000000000004</v>
      </c>
      <c r="K416" s="1">
        <v>6165000</v>
      </c>
      <c r="L416" t="s">
        <v>21</v>
      </c>
    </row>
    <row r="417" spans="1:12">
      <c r="A417" t="s">
        <v>464</v>
      </c>
      <c r="B417" t="s">
        <v>63</v>
      </c>
      <c r="C417" t="s">
        <v>24</v>
      </c>
      <c r="D417" t="s">
        <v>15</v>
      </c>
      <c r="E417">
        <v>29</v>
      </c>
      <c r="F417">
        <v>53</v>
      </c>
      <c r="G417">
        <v>16.600000000000001</v>
      </c>
      <c r="H417">
        <v>1</v>
      </c>
      <c r="I417">
        <v>1.4</v>
      </c>
      <c r="J417">
        <v>4.4000000000000004</v>
      </c>
      <c r="K417" s="1">
        <v>11500000</v>
      </c>
      <c r="L417" t="s">
        <v>21</v>
      </c>
    </row>
    <row r="418" spans="1:12">
      <c r="A418" t="s">
        <v>465</v>
      </c>
      <c r="B418" t="s">
        <v>63</v>
      </c>
      <c r="C418" t="s">
        <v>24</v>
      </c>
      <c r="D418" t="s">
        <v>25</v>
      </c>
      <c r="E418">
        <v>23</v>
      </c>
      <c r="F418">
        <v>77</v>
      </c>
      <c r="G418">
        <v>15.3</v>
      </c>
      <c r="H418">
        <v>3.6</v>
      </c>
      <c r="I418">
        <v>0.9</v>
      </c>
      <c r="J418">
        <v>4.4000000000000004</v>
      </c>
      <c r="K418" s="1">
        <v>2221677</v>
      </c>
      <c r="L418" t="s">
        <v>16</v>
      </c>
    </row>
    <row r="419" spans="1:12">
      <c r="A419" t="s">
        <v>466</v>
      </c>
      <c r="B419" t="s">
        <v>56</v>
      </c>
      <c r="C419" t="s">
        <v>24</v>
      </c>
      <c r="D419" t="s">
        <v>15</v>
      </c>
      <c r="E419">
        <v>23</v>
      </c>
      <c r="F419">
        <v>37</v>
      </c>
      <c r="G419">
        <v>16.600000000000001</v>
      </c>
      <c r="H419">
        <v>1.6</v>
      </c>
      <c r="I419">
        <v>3.2</v>
      </c>
      <c r="J419">
        <v>4.4000000000000004</v>
      </c>
      <c r="K419" s="1">
        <v>1272870</v>
      </c>
      <c r="L419" t="s">
        <v>21</v>
      </c>
    </row>
    <row r="420" spans="1:12">
      <c r="A420" t="s">
        <v>467</v>
      </c>
      <c r="B420" t="s">
        <v>72</v>
      </c>
      <c r="C420" t="s">
        <v>14</v>
      </c>
      <c r="D420" t="s">
        <v>34</v>
      </c>
      <c r="E420">
        <v>37</v>
      </c>
      <c r="F420">
        <v>12</v>
      </c>
      <c r="G420">
        <v>16.600000000000001</v>
      </c>
      <c r="H420">
        <v>6.3</v>
      </c>
      <c r="I420">
        <v>0.9</v>
      </c>
      <c r="J420">
        <v>4.4000000000000004</v>
      </c>
      <c r="K420" s="1">
        <v>3592381</v>
      </c>
      <c r="L420" t="s">
        <v>21</v>
      </c>
    </row>
    <row r="421" spans="1:12">
      <c r="A421" t="s">
        <v>468</v>
      </c>
      <c r="B421" t="s">
        <v>45</v>
      </c>
      <c r="C421" t="s">
        <v>24</v>
      </c>
      <c r="D421" t="s">
        <v>15</v>
      </c>
      <c r="E421">
        <v>24</v>
      </c>
      <c r="F421">
        <v>62</v>
      </c>
      <c r="G421">
        <v>11.7</v>
      </c>
      <c r="H421">
        <v>1.6</v>
      </c>
      <c r="I421">
        <v>2.7</v>
      </c>
      <c r="J421">
        <v>4.4000000000000004</v>
      </c>
      <c r="K421" s="1">
        <v>2191897</v>
      </c>
      <c r="L421" t="s">
        <v>21</v>
      </c>
    </row>
    <row r="422" spans="1:12">
      <c r="A422" t="s">
        <v>469</v>
      </c>
      <c r="B422" t="s">
        <v>65</v>
      </c>
      <c r="C422" t="s">
        <v>24</v>
      </c>
      <c r="D422" t="s">
        <v>15</v>
      </c>
      <c r="E422">
        <v>20</v>
      </c>
      <c r="F422">
        <v>54</v>
      </c>
      <c r="G422">
        <v>10.9</v>
      </c>
      <c r="H422">
        <v>1.2</v>
      </c>
      <c r="I422">
        <v>1.1000000000000001</v>
      </c>
      <c r="J422">
        <v>4.4000000000000004</v>
      </c>
      <c r="K422" s="1">
        <v>2983320</v>
      </c>
      <c r="L422" t="s">
        <v>21</v>
      </c>
    </row>
    <row r="423" spans="1:12">
      <c r="A423" t="s">
        <v>470</v>
      </c>
      <c r="B423" t="s">
        <v>13</v>
      </c>
      <c r="C423" t="s">
        <v>14</v>
      </c>
      <c r="D423" t="s">
        <v>25</v>
      </c>
      <c r="E423">
        <v>26</v>
      </c>
      <c r="F423">
        <v>65</v>
      </c>
      <c r="G423">
        <v>17.399999999999999</v>
      </c>
      <c r="H423">
        <v>4.5</v>
      </c>
      <c r="I423">
        <v>1.3</v>
      </c>
      <c r="J423">
        <v>4.4000000000000004</v>
      </c>
      <c r="K423" s="1">
        <v>11571429</v>
      </c>
      <c r="L423" t="s">
        <v>21</v>
      </c>
    </row>
    <row r="424" spans="1:12">
      <c r="A424" t="s">
        <v>471</v>
      </c>
      <c r="B424" t="s">
        <v>43</v>
      </c>
      <c r="C424" t="s">
        <v>14</v>
      </c>
      <c r="D424" t="s">
        <v>25</v>
      </c>
      <c r="E424">
        <v>21</v>
      </c>
      <c r="F424">
        <v>55</v>
      </c>
      <c r="G424">
        <v>12.2</v>
      </c>
      <c r="H424">
        <v>2.2999999999999998</v>
      </c>
      <c r="I424">
        <v>0.3</v>
      </c>
      <c r="J424">
        <v>4.3</v>
      </c>
      <c r="K424" s="1">
        <v>1272870</v>
      </c>
      <c r="L424" t="s">
        <v>21</v>
      </c>
    </row>
    <row r="425" spans="1:12">
      <c r="A425" t="s">
        <v>472</v>
      </c>
      <c r="B425" t="s">
        <v>87</v>
      </c>
      <c r="C425" t="s">
        <v>24</v>
      </c>
      <c r="D425" t="s">
        <v>15</v>
      </c>
      <c r="E425">
        <v>25</v>
      </c>
      <c r="F425">
        <v>58</v>
      </c>
      <c r="G425">
        <v>15.7</v>
      </c>
      <c r="H425">
        <v>1.8</v>
      </c>
      <c r="I425">
        <v>0.8</v>
      </c>
      <c r="J425">
        <v>4.3</v>
      </c>
      <c r="K425" s="1">
        <v>13666667</v>
      </c>
      <c r="L425" t="s">
        <v>16</v>
      </c>
    </row>
    <row r="426" spans="1:12">
      <c r="A426" t="s">
        <v>473</v>
      </c>
      <c r="B426" t="s">
        <v>68</v>
      </c>
      <c r="C426" t="s">
        <v>24</v>
      </c>
      <c r="D426" t="s">
        <v>25</v>
      </c>
      <c r="E426">
        <v>24</v>
      </c>
      <c r="F426">
        <v>32</v>
      </c>
      <c r="G426">
        <v>8.8000000000000007</v>
      </c>
      <c r="H426">
        <v>1.9</v>
      </c>
      <c r="I426">
        <v>0.3</v>
      </c>
      <c r="J426">
        <v>4.3</v>
      </c>
      <c r="K426" s="1">
        <v>1955377</v>
      </c>
      <c r="L426" t="s">
        <v>21</v>
      </c>
    </row>
    <row r="427" spans="1:12">
      <c r="A427" t="s">
        <v>474</v>
      </c>
      <c r="B427" t="s">
        <v>29</v>
      </c>
      <c r="C427" t="s">
        <v>14</v>
      </c>
      <c r="D427" t="s">
        <v>34</v>
      </c>
      <c r="E427">
        <v>22</v>
      </c>
      <c r="F427">
        <v>41</v>
      </c>
      <c r="G427">
        <v>10.3</v>
      </c>
      <c r="H427">
        <v>2.9</v>
      </c>
      <c r="I427">
        <v>0.3</v>
      </c>
      <c r="J427">
        <v>4.3</v>
      </c>
      <c r="K427" s="1">
        <v>2743800</v>
      </c>
      <c r="L427" t="s">
        <v>16</v>
      </c>
    </row>
    <row r="428" spans="1:12">
      <c r="A428" t="s">
        <v>475</v>
      </c>
      <c r="B428" t="s">
        <v>83</v>
      </c>
      <c r="C428" t="s">
        <v>24</v>
      </c>
      <c r="D428" t="s">
        <v>25</v>
      </c>
      <c r="E428">
        <v>29</v>
      </c>
      <c r="F428">
        <v>3</v>
      </c>
      <c r="G428">
        <v>12.7</v>
      </c>
      <c r="H428">
        <v>3</v>
      </c>
      <c r="I428">
        <v>1</v>
      </c>
      <c r="J428">
        <v>4.3</v>
      </c>
      <c r="K428" s="1">
        <v>153330</v>
      </c>
      <c r="L428" t="s">
        <v>16</v>
      </c>
    </row>
    <row r="429" spans="1:12">
      <c r="A429" t="s">
        <v>476</v>
      </c>
      <c r="B429" t="s">
        <v>75</v>
      </c>
      <c r="C429" t="s">
        <v>14</v>
      </c>
      <c r="D429" t="s">
        <v>34</v>
      </c>
      <c r="E429">
        <v>21</v>
      </c>
      <c r="F429">
        <v>7</v>
      </c>
      <c r="G429">
        <v>16.399999999999999</v>
      </c>
      <c r="H429">
        <v>5.3</v>
      </c>
      <c r="I429">
        <v>1.9</v>
      </c>
      <c r="J429">
        <v>4.3</v>
      </c>
      <c r="K429" s="1">
        <v>5253360</v>
      </c>
      <c r="L429" t="s">
        <v>21</v>
      </c>
    </row>
    <row r="430" spans="1:12">
      <c r="A430" t="s">
        <v>477</v>
      </c>
      <c r="B430" t="s">
        <v>87</v>
      </c>
      <c r="C430" t="s">
        <v>24</v>
      </c>
      <c r="D430" t="s">
        <v>25</v>
      </c>
      <c r="E430">
        <v>20</v>
      </c>
      <c r="F430">
        <v>31</v>
      </c>
      <c r="G430">
        <v>11.9</v>
      </c>
      <c r="H430">
        <v>2.4</v>
      </c>
      <c r="I430">
        <v>0.8</v>
      </c>
      <c r="J430">
        <v>4.3</v>
      </c>
      <c r="K430" s="1">
        <v>2763960</v>
      </c>
      <c r="L430" t="s">
        <v>21</v>
      </c>
    </row>
    <row r="431" spans="1:12">
      <c r="A431" t="s">
        <v>478</v>
      </c>
      <c r="B431" t="s">
        <v>54</v>
      </c>
      <c r="C431" t="s">
        <v>24</v>
      </c>
      <c r="D431" t="s">
        <v>25</v>
      </c>
      <c r="E431">
        <v>23</v>
      </c>
      <c r="F431">
        <v>4</v>
      </c>
      <c r="G431">
        <v>8.8000000000000007</v>
      </c>
      <c r="H431">
        <v>1.5</v>
      </c>
      <c r="I431">
        <v>1.3</v>
      </c>
      <c r="J431">
        <v>4.3</v>
      </c>
      <c r="K431" s="1">
        <v>636435</v>
      </c>
      <c r="L431" t="s">
        <v>21</v>
      </c>
    </row>
    <row r="432" spans="1:12">
      <c r="A432" t="s">
        <v>479</v>
      </c>
      <c r="B432" t="s">
        <v>72</v>
      </c>
      <c r="C432" t="s">
        <v>14</v>
      </c>
      <c r="D432" t="s">
        <v>15</v>
      </c>
      <c r="E432">
        <v>24</v>
      </c>
      <c r="F432">
        <v>61</v>
      </c>
      <c r="G432">
        <v>15</v>
      </c>
      <c r="H432">
        <v>1.9</v>
      </c>
      <c r="I432">
        <v>1</v>
      </c>
      <c r="J432">
        <v>4.3</v>
      </c>
      <c r="K432" s="1">
        <v>1272870</v>
      </c>
      <c r="L432" t="s">
        <v>21</v>
      </c>
    </row>
    <row r="433" spans="1:12">
      <c r="A433" t="s">
        <v>480</v>
      </c>
      <c r="B433" t="s">
        <v>27</v>
      </c>
      <c r="C433" t="s">
        <v>24</v>
      </c>
      <c r="D433" t="s">
        <v>25</v>
      </c>
      <c r="E433">
        <v>23</v>
      </c>
      <c r="F433">
        <v>64</v>
      </c>
      <c r="G433">
        <v>11.9</v>
      </c>
      <c r="H433">
        <v>3</v>
      </c>
      <c r="I433">
        <v>0.5</v>
      </c>
      <c r="J433">
        <v>4.3</v>
      </c>
      <c r="K433" s="1">
        <v>724598</v>
      </c>
      <c r="L433" t="s">
        <v>21</v>
      </c>
    </row>
    <row r="434" spans="1:12">
      <c r="A434" t="s">
        <v>481</v>
      </c>
      <c r="B434" t="s">
        <v>50</v>
      </c>
      <c r="C434" t="s">
        <v>14</v>
      </c>
      <c r="D434" t="s">
        <v>25</v>
      </c>
      <c r="E434">
        <v>20</v>
      </c>
      <c r="F434">
        <v>71</v>
      </c>
      <c r="G434">
        <v>11.5</v>
      </c>
      <c r="H434">
        <v>2.5</v>
      </c>
      <c r="I434">
        <v>0.7</v>
      </c>
      <c r="J434">
        <v>4.2</v>
      </c>
      <c r="K434" s="1">
        <v>4900320</v>
      </c>
      <c r="L434" t="s">
        <v>21</v>
      </c>
    </row>
    <row r="435" spans="1:12">
      <c r="A435" t="s">
        <v>482</v>
      </c>
      <c r="B435" t="s">
        <v>23</v>
      </c>
      <c r="C435" t="s">
        <v>24</v>
      </c>
      <c r="D435" t="s">
        <v>25</v>
      </c>
      <c r="E435">
        <v>25</v>
      </c>
      <c r="F435">
        <v>29</v>
      </c>
      <c r="G435">
        <v>11</v>
      </c>
      <c r="H435">
        <v>1.7</v>
      </c>
      <c r="I435">
        <v>0.8</v>
      </c>
      <c r="J435">
        <v>4.2</v>
      </c>
      <c r="K435" s="1">
        <v>123045</v>
      </c>
      <c r="L435" t="s">
        <v>21</v>
      </c>
    </row>
    <row r="436" spans="1:12">
      <c r="A436" t="s">
        <v>483</v>
      </c>
      <c r="B436" t="s">
        <v>13</v>
      </c>
      <c r="C436" t="s">
        <v>14</v>
      </c>
      <c r="D436" t="s">
        <v>25</v>
      </c>
      <c r="E436">
        <v>24</v>
      </c>
      <c r="F436">
        <v>54</v>
      </c>
      <c r="G436">
        <v>10.199999999999999</v>
      </c>
      <c r="H436">
        <v>1.4</v>
      </c>
      <c r="I436">
        <v>0.4</v>
      </c>
      <c r="J436">
        <v>4.2</v>
      </c>
      <c r="K436" s="1">
        <v>4010160</v>
      </c>
      <c r="L436" t="s">
        <v>21</v>
      </c>
    </row>
    <row r="437" spans="1:12">
      <c r="A437" t="s">
        <v>484</v>
      </c>
      <c r="B437" t="s">
        <v>70</v>
      </c>
      <c r="C437" t="s">
        <v>24</v>
      </c>
      <c r="D437" t="s">
        <v>15</v>
      </c>
      <c r="E437">
        <v>25</v>
      </c>
      <c r="F437">
        <v>24</v>
      </c>
      <c r="G437">
        <v>9.4</v>
      </c>
      <c r="H437">
        <v>1.8</v>
      </c>
      <c r="I437">
        <v>0.3</v>
      </c>
      <c r="J437">
        <v>4.2</v>
      </c>
      <c r="K437" s="1">
        <v>27343</v>
      </c>
      <c r="L437" t="s">
        <v>16</v>
      </c>
    </row>
    <row r="438" spans="1:12">
      <c r="A438" t="s">
        <v>485</v>
      </c>
      <c r="B438" t="s">
        <v>31</v>
      </c>
      <c r="C438" t="s">
        <v>24</v>
      </c>
      <c r="D438" t="s">
        <v>25</v>
      </c>
      <c r="E438">
        <v>24</v>
      </c>
      <c r="F438">
        <v>9</v>
      </c>
      <c r="G438">
        <v>9.4</v>
      </c>
      <c r="H438">
        <v>1.6</v>
      </c>
      <c r="I438">
        <v>0.8</v>
      </c>
      <c r="J438">
        <v>4.0999999999999996</v>
      </c>
      <c r="K438" s="1">
        <v>274325</v>
      </c>
      <c r="L438" t="s">
        <v>16</v>
      </c>
    </row>
    <row r="439" spans="1:12">
      <c r="A439" t="s">
        <v>486</v>
      </c>
      <c r="B439" t="s">
        <v>29</v>
      </c>
      <c r="C439" t="s">
        <v>14</v>
      </c>
      <c r="D439" t="s">
        <v>25</v>
      </c>
      <c r="E439">
        <v>37</v>
      </c>
      <c r="F439">
        <v>74</v>
      </c>
      <c r="G439">
        <v>17.5</v>
      </c>
      <c r="H439">
        <v>2.5</v>
      </c>
      <c r="I439">
        <v>0.9</v>
      </c>
      <c r="J439">
        <v>4</v>
      </c>
      <c r="K439" s="1">
        <v>5601600</v>
      </c>
      <c r="L439" t="s">
        <v>16</v>
      </c>
    </row>
    <row r="440" spans="1:12">
      <c r="A440" t="s">
        <v>487</v>
      </c>
      <c r="B440" t="s">
        <v>63</v>
      </c>
      <c r="C440" t="s">
        <v>24</v>
      </c>
      <c r="D440" t="s">
        <v>34</v>
      </c>
      <c r="E440">
        <v>28</v>
      </c>
      <c r="F440">
        <v>41</v>
      </c>
      <c r="G440">
        <v>11</v>
      </c>
      <c r="H440">
        <v>2.8</v>
      </c>
      <c r="I440">
        <v>0.5</v>
      </c>
      <c r="J440">
        <v>4</v>
      </c>
      <c r="K440" s="1">
        <v>123945</v>
      </c>
      <c r="L440" t="s">
        <v>21</v>
      </c>
    </row>
    <row r="441" spans="1:12">
      <c r="A441" t="s">
        <v>488</v>
      </c>
      <c r="B441" t="s">
        <v>20</v>
      </c>
      <c r="C441" t="s">
        <v>14</v>
      </c>
      <c r="D441" t="s">
        <v>15</v>
      </c>
      <c r="E441">
        <v>24</v>
      </c>
      <c r="F441">
        <v>68</v>
      </c>
      <c r="G441">
        <v>13.1</v>
      </c>
      <c r="H441">
        <v>1.8</v>
      </c>
      <c r="I441">
        <v>0.6</v>
      </c>
      <c r="J441">
        <v>4</v>
      </c>
      <c r="K441" s="1">
        <v>2191897</v>
      </c>
      <c r="L441" t="s">
        <v>21</v>
      </c>
    </row>
    <row r="442" spans="1:12">
      <c r="A442" t="s">
        <v>489</v>
      </c>
      <c r="B442" t="s">
        <v>94</v>
      </c>
      <c r="C442" t="s">
        <v>14</v>
      </c>
      <c r="D442" t="s">
        <v>25</v>
      </c>
      <c r="E442">
        <v>29</v>
      </c>
      <c r="F442">
        <v>2</v>
      </c>
      <c r="G442">
        <v>10</v>
      </c>
      <c r="H442">
        <v>3</v>
      </c>
      <c r="I442">
        <v>0.5</v>
      </c>
      <c r="J442">
        <v>4</v>
      </c>
      <c r="K442" s="1">
        <v>12500000</v>
      </c>
      <c r="L442" t="s">
        <v>16</v>
      </c>
    </row>
    <row r="443" spans="1:12">
      <c r="A443" t="s">
        <v>490</v>
      </c>
      <c r="B443" t="s">
        <v>20</v>
      </c>
      <c r="C443" t="s">
        <v>14</v>
      </c>
      <c r="D443" t="s">
        <v>25</v>
      </c>
      <c r="E443">
        <v>19</v>
      </c>
      <c r="F443">
        <v>40</v>
      </c>
      <c r="G443">
        <v>7.9</v>
      </c>
      <c r="H443">
        <v>2.2999999999999998</v>
      </c>
      <c r="I443">
        <v>0.3</v>
      </c>
      <c r="J443">
        <v>3.9</v>
      </c>
      <c r="K443" s="1">
        <v>4201080</v>
      </c>
      <c r="L443" t="s">
        <v>16</v>
      </c>
    </row>
    <row r="444" spans="1:12">
      <c r="A444" t="s">
        <v>491</v>
      </c>
      <c r="B444" t="s">
        <v>23</v>
      </c>
      <c r="C444" t="s">
        <v>24</v>
      </c>
      <c r="D444" t="s">
        <v>25</v>
      </c>
      <c r="E444">
        <v>19</v>
      </c>
      <c r="F444">
        <v>74</v>
      </c>
      <c r="G444">
        <v>14.6</v>
      </c>
      <c r="H444">
        <v>3.3</v>
      </c>
      <c r="I444">
        <v>0.5</v>
      </c>
      <c r="J444">
        <v>3.9</v>
      </c>
      <c r="K444" s="1">
        <v>2783880</v>
      </c>
      <c r="L444" t="s">
        <v>16</v>
      </c>
    </row>
    <row r="445" spans="1:12">
      <c r="A445" t="s">
        <v>492</v>
      </c>
      <c r="B445" t="s">
        <v>75</v>
      </c>
      <c r="C445" t="s">
        <v>14</v>
      </c>
      <c r="D445" t="s">
        <v>25</v>
      </c>
      <c r="E445">
        <v>30</v>
      </c>
      <c r="F445">
        <v>58</v>
      </c>
      <c r="G445">
        <v>14.8</v>
      </c>
      <c r="H445">
        <v>2.5</v>
      </c>
      <c r="I445">
        <v>1.4</v>
      </c>
      <c r="J445">
        <v>3.9</v>
      </c>
      <c r="K445" s="1">
        <v>8556451</v>
      </c>
      <c r="L445" t="s">
        <v>21</v>
      </c>
    </row>
    <row r="446" spans="1:12">
      <c r="A446" t="s">
        <v>493</v>
      </c>
      <c r="B446" t="s">
        <v>43</v>
      </c>
      <c r="C446" t="s">
        <v>14</v>
      </c>
      <c r="D446" t="s">
        <v>15</v>
      </c>
      <c r="E446">
        <v>23</v>
      </c>
      <c r="F446">
        <v>12</v>
      </c>
      <c r="G446">
        <v>7</v>
      </c>
      <c r="H446">
        <v>0.7</v>
      </c>
      <c r="I446">
        <v>0.8</v>
      </c>
      <c r="J446">
        <v>3.8</v>
      </c>
      <c r="K446" s="1">
        <v>85300</v>
      </c>
      <c r="L446" t="s">
        <v>21</v>
      </c>
    </row>
    <row r="447" spans="1:12">
      <c r="A447" t="s">
        <v>494</v>
      </c>
      <c r="B447" t="s">
        <v>47</v>
      </c>
      <c r="C447" t="s">
        <v>14</v>
      </c>
      <c r="D447" t="s">
        <v>34</v>
      </c>
      <c r="E447">
        <v>31</v>
      </c>
      <c r="F447">
        <v>75</v>
      </c>
      <c r="G447">
        <v>12.3</v>
      </c>
      <c r="H447">
        <v>4.5999999999999996</v>
      </c>
      <c r="I447">
        <v>0.7</v>
      </c>
      <c r="J447">
        <v>3.8</v>
      </c>
      <c r="K447" s="1">
        <v>6700000</v>
      </c>
      <c r="L447" t="s">
        <v>16</v>
      </c>
    </row>
    <row r="448" spans="1:12">
      <c r="A448" t="s">
        <v>495</v>
      </c>
      <c r="B448" t="s">
        <v>65</v>
      </c>
      <c r="C448" t="s">
        <v>24</v>
      </c>
      <c r="D448" t="s">
        <v>25</v>
      </c>
      <c r="E448">
        <v>21</v>
      </c>
      <c r="F448">
        <v>59</v>
      </c>
      <c r="G448">
        <v>12.8</v>
      </c>
      <c r="H448">
        <v>3.2</v>
      </c>
      <c r="I448">
        <v>1.2</v>
      </c>
      <c r="J448">
        <v>3.8</v>
      </c>
      <c r="K448" s="1">
        <v>1272870</v>
      </c>
      <c r="L448" t="s">
        <v>16</v>
      </c>
    </row>
    <row r="449" spans="1:12">
      <c r="A449" t="s">
        <v>496</v>
      </c>
      <c r="B449" t="s">
        <v>41</v>
      </c>
      <c r="C449" t="s">
        <v>14</v>
      </c>
      <c r="D449" t="s">
        <v>34</v>
      </c>
      <c r="E449">
        <v>27</v>
      </c>
      <c r="F449">
        <v>9</v>
      </c>
      <c r="G449">
        <v>11.6</v>
      </c>
      <c r="H449">
        <v>3.3</v>
      </c>
      <c r="I449">
        <v>0.9</v>
      </c>
      <c r="J449">
        <v>3.8</v>
      </c>
      <c r="K449" s="1">
        <v>141463</v>
      </c>
      <c r="L449" t="s">
        <v>16</v>
      </c>
    </row>
    <row r="450" spans="1:12">
      <c r="A450" t="s">
        <v>497</v>
      </c>
      <c r="B450" t="s">
        <v>27</v>
      </c>
      <c r="C450" t="s">
        <v>24</v>
      </c>
      <c r="D450" t="s">
        <v>15</v>
      </c>
      <c r="E450">
        <v>23</v>
      </c>
      <c r="F450">
        <v>48</v>
      </c>
      <c r="G450">
        <v>11.5</v>
      </c>
      <c r="H450">
        <v>1.8</v>
      </c>
      <c r="I450">
        <v>1.4</v>
      </c>
      <c r="J450">
        <v>3.7</v>
      </c>
      <c r="K450" s="1">
        <v>125931</v>
      </c>
      <c r="L450" t="s">
        <v>21</v>
      </c>
    </row>
    <row r="451" spans="1:12">
      <c r="A451" t="s">
        <v>498</v>
      </c>
      <c r="B451" t="s">
        <v>33</v>
      </c>
      <c r="C451" t="s">
        <v>14</v>
      </c>
      <c r="D451" t="s">
        <v>25</v>
      </c>
      <c r="E451">
        <v>23</v>
      </c>
      <c r="F451">
        <v>25</v>
      </c>
      <c r="G451">
        <v>8.4</v>
      </c>
      <c r="H451">
        <v>1.4</v>
      </c>
      <c r="I451">
        <v>0.6</v>
      </c>
      <c r="J451">
        <v>3.7</v>
      </c>
      <c r="K451" s="1">
        <v>3218760</v>
      </c>
      <c r="L451" t="s">
        <v>21</v>
      </c>
    </row>
    <row r="452" spans="1:12">
      <c r="A452" t="s">
        <v>499</v>
      </c>
      <c r="B452" t="s">
        <v>31</v>
      </c>
      <c r="C452" t="s">
        <v>24</v>
      </c>
      <c r="D452" t="s">
        <v>25</v>
      </c>
      <c r="E452">
        <v>33</v>
      </c>
      <c r="F452">
        <v>35</v>
      </c>
      <c r="G452">
        <v>12.8</v>
      </c>
      <c r="H452">
        <v>2.7</v>
      </c>
      <c r="I452">
        <v>1</v>
      </c>
      <c r="J452">
        <v>3.7</v>
      </c>
      <c r="K452" s="1">
        <v>3634153</v>
      </c>
      <c r="L452" t="s">
        <v>21</v>
      </c>
    </row>
    <row r="453" spans="1:12">
      <c r="A453" t="s">
        <v>500</v>
      </c>
      <c r="B453" t="s">
        <v>33</v>
      </c>
      <c r="C453" t="s">
        <v>14</v>
      </c>
      <c r="D453" t="s">
        <v>25</v>
      </c>
      <c r="E453">
        <v>25</v>
      </c>
      <c r="F453">
        <v>52</v>
      </c>
      <c r="G453">
        <v>12</v>
      </c>
      <c r="H453">
        <v>2.6</v>
      </c>
      <c r="I453">
        <v>0.6</v>
      </c>
      <c r="J453">
        <v>3.7</v>
      </c>
      <c r="K453" s="1">
        <v>8177778</v>
      </c>
      <c r="L453" t="s">
        <v>21</v>
      </c>
    </row>
    <row r="454" spans="1:12">
      <c r="A454" t="s">
        <v>501</v>
      </c>
      <c r="B454" t="s">
        <v>58</v>
      </c>
      <c r="C454" t="s">
        <v>24</v>
      </c>
      <c r="D454" t="s">
        <v>25</v>
      </c>
      <c r="E454">
        <v>25</v>
      </c>
      <c r="F454">
        <v>15</v>
      </c>
      <c r="G454">
        <v>9.1</v>
      </c>
      <c r="H454">
        <v>3.3</v>
      </c>
      <c r="I454">
        <v>0.9</v>
      </c>
      <c r="J454">
        <v>3.7</v>
      </c>
      <c r="K454" s="1">
        <v>70638</v>
      </c>
      <c r="L454" t="s">
        <v>21</v>
      </c>
    </row>
    <row r="455" spans="1:12">
      <c r="A455" t="s">
        <v>502</v>
      </c>
      <c r="B455" t="s">
        <v>45</v>
      </c>
      <c r="C455" t="s">
        <v>24</v>
      </c>
      <c r="D455" t="s">
        <v>25</v>
      </c>
      <c r="E455">
        <v>22</v>
      </c>
      <c r="F455">
        <v>44</v>
      </c>
      <c r="G455">
        <v>10.7</v>
      </c>
      <c r="H455">
        <v>2.4</v>
      </c>
      <c r="I455">
        <v>0.9</v>
      </c>
      <c r="J455">
        <v>3.6</v>
      </c>
      <c r="K455" s="1">
        <v>806628</v>
      </c>
      <c r="L455" t="s">
        <v>16</v>
      </c>
    </row>
    <row r="456" spans="1:12">
      <c r="A456" t="s">
        <v>503</v>
      </c>
      <c r="B456" t="s">
        <v>45</v>
      </c>
      <c r="C456" t="s">
        <v>24</v>
      </c>
      <c r="D456" t="s">
        <v>25</v>
      </c>
      <c r="E456">
        <v>20</v>
      </c>
      <c r="F456">
        <v>69</v>
      </c>
      <c r="G456">
        <v>9.1999999999999993</v>
      </c>
      <c r="H456">
        <v>1.4</v>
      </c>
      <c r="I456">
        <v>0.8</v>
      </c>
      <c r="J456">
        <v>3.6</v>
      </c>
      <c r="K456" s="1">
        <v>1272870</v>
      </c>
      <c r="L456" t="s">
        <v>16</v>
      </c>
    </row>
    <row r="457" spans="1:12">
      <c r="A457" t="s">
        <v>504</v>
      </c>
      <c r="B457" t="s">
        <v>68</v>
      </c>
      <c r="C457" t="s">
        <v>24</v>
      </c>
      <c r="D457" t="s">
        <v>25</v>
      </c>
      <c r="E457">
        <v>24</v>
      </c>
      <c r="F457">
        <v>45</v>
      </c>
      <c r="G457">
        <v>9.1</v>
      </c>
      <c r="H457">
        <v>2.7</v>
      </c>
      <c r="I457">
        <v>1</v>
      </c>
      <c r="J457">
        <v>3.6</v>
      </c>
      <c r="K457" s="1">
        <v>395029</v>
      </c>
      <c r="L457" t="s">
        <v>21</v>
      </c>
    </row>
    <row r="458" spans="1:12">
      <c r="A458" t="s">
        <v>505</v>
      </c>
      <c r="B458" t="s">
        <v>31</v>
      </c>
      <c r="C458" t="s">
        <v>24</v>
      </c>
      <c r="D458" t="s">
        <v>34</v>
      </c>
      <c r="E458">
        <v>26</v>
      </c>
      <c r="F458">
        <v>4</v>
      </c>
      <c r="G458">
        <v>9.8000000000000007</v>
      </c>
      <c r="H458">
        <v>2.8</v>
      </c>
      <c r="I458">
        <v>1.3</v>
      </c>
      <c r="J458">
        <v>3.5</v>
      </c>
      <c r="K458" s="1">
        <v>149965</v>
      </c>
      <c r="L458" t="s">
        <v>16</v>
      </c>
    </row>
    <row r="459" spans="1:12">
      <c r="A459" t="s">
        <v>506</v>
      </c>
      <c r="B459" t="s">
        <v>63</v>
      </c>
      <c r="C459" t="s">
        <v>24</v>
      </c>
      <c r="D459" t="s">
        <v>15</v>
      </c>
      <c r="E459">
        <v>26</v>
      </c>
      <c r="F459">
        <v>53</v>
      </c>
      <c r="G459">
        <v>10.1</v>
      </c>
      <c r="H459">
        <v>1.1000000000000001</v>
      </c>
      <c r="I459">
        <v>1.8</v>
      </c>
      <c r="J459">
        <v>3.5</v>
      </c>
      <c r="K459" s="1">
        <v>2296274</v>
      </c>
      <c r="L459" t="s">
        <v>21</v>
      </c>
    </row>
    <row r="460" spans="1:12">
      <c r="A460" t="s">
        <v>507</v>
      </c>
      <c r="B460" t="s">
        <v>70</v>
      </c>
      <c r="C460" t="s">
        <v>24</v>
      </c>
      <c r="D460" t="s">
        <v>34</v>
      </c>
      <c r="E460">
        <v>25</v>
      </c>
      <c r="F460">
        <v>53</v>
      </c>
      <c r="G460">
        <v>9.4</v>
      </c>
      <c r="H460">
        <v>2.7</v>
      </c>
      <c r="I460">
        <v>0.7</v>
      </c>
      <c r="J460">
        <v>3.4</v>
      </c>
      <c r="K460" s="1">
        <v>2221677</v>
      </c>
      <c r="L460" t="s">
        <v>21</v>
      </c>
    </row>
    <row r="461" spans="1:12">
      <c r="A461" t="s">
        <v>508</v>
      </c>
      <c r="B461" t="s">
        <v>94</v>
      </c>
      <c r="C461" t="s">
        <v>14</v>
      </c>
      <c r="D461" t="s">
        <v>34</v>
      </c>
      <c r="E461">
        <v>40</v>
      </c>
      <c r="F461">
        <v>10</v>
      </c>
      <c r="G461">
        <v>9.6999999999999993</v>
      </c>
      <c r="H461">
        <v>2.7</v>
      </c>
      <c r="I461">
        <v>0.6</v>
      </c>
      <c r="J461">
        <v>3.4</v>
      </c>
      <c r="K461" s="1">
        <v>960753</v>
      </c>
      <c r="L461" t="s">
        <v>21</v>
      </c>
    </row>
    <row r="462" spans="1:12">
      <c r="A462" t="s">
        <v>509</v>
      </c>
      <c r="B462" t="s">
        <v>122</v>
      </c>
      <c r="C462" t="s">
        <v>24</v>
      </c>
      <c r="D462" t="s">
        <v>15</v>
      </c>
      <c r="E462">
        <v>24</v>
      </c>
      <c r="F462">
        <v>18</v>
      </c>
      <c r="G462">
        <v>11.6</v>
      </c>
      <c r="H462">
        <v>1.8</v>
      </c>
      <c r="I462">
        <v>2.6</v>
      </c>
      <c r="J462">
        <v>3.4</v>
      </c>
      <c r="K462" s="1">
        <v>354794</v>
      </c>
      <c r="L462" t="s">
        <v>16</v>
      </c>
    </row>
    <row r="463" spans="1:12">
      <c r="A463" t="s">
        <v>510</v>
      </c>
      <c r="B463" t="s">
        <v>13</v>
      </c>
      <c r="C463" t="s">
        <v>14</v>
      </c>
      <c r="D463" t="s">
        <v>25</v>
      </c>
      <c r="E463">
        <v>25</v>
      </c>
      <c r="F463">
        <v>27</v>
      </c>
      <c r="G463">
        <v>8.6999999999999993</v>
      </c>
      <c r="H463">
        <v>1.2</v>
      </c>
      <c r="I463">
        <v>0.9</v>
      </c>
      <c r="J463">
        <v>3.4</v>
      </c>
      <c r="K463" s="1">
        <v>85300</v>
      </c>
      <c r="L463" t="s">
        <v>21</v>
      </c>
    </row>
    <row r="464" spans="1:12">
      <c r="A464" t="s">
        <v>511</v>
      </c>
      <c r="B464" t="s">
        <v>75</v>
      </c>
      <c r="C464" t="s">
        <v>14</v>
      </c>
      <c r="D464" t="s">
        <v>15</v>
      </c>
      <c r="E464">
        <v>21</v>
      </c>
      <c r="F464">
        <v>48</v>
      </c>
      <c r="G464">
        <v>9.5</v>
      </c>
      <c r="H464">
        <v>1.1000000000000001</v>
      </c>
      <c r="I464">
        <v>1</v>
      </c>
      <c r="J464">
        <v>3.3</v>
      </c>
      <c r="K464" s="1">
        <v>3090480</v>
      </c>
      <c r="L464" t="s">
        <v>21</v>
      </c>
    </row>
    <row r="465" spans="1:12">
      <c r="A465" t="s">
        <v>512</v>
      </c>
      <c r="B465" t="s">
        <v>47</v>
      </c>
      <c r="C465" t="s">
        <v>14</v>
      </c>
      <c r="D465" t="s">
        <v>25</v>
      </c>
      <c r="E465">
        <v>32</v>
      </c>
      <c r="F465">
        <v>37</v>
      </c>
      <c r="G465">
        <v>16.8</v>
      </c>
      <c r="H465">
        <v>2.5</v>
      </c>
      <c r="I465">
        <v>1</v>
      </c>
      <c r="J465">
        <v>3.3</v>
      </c>
      <c r="K465" s="1">
        <v>12700000</v>
      </c>
      <c r="L465" t="s">
        <v>21</v>
      </c>
    </row>
    <row r="466" spans="1:12">
      <c r="A466" t="s">
        <v>513</v>
      </c>
      <c r="B466" t="s">
        <v>20</v>
      </c>
      <c r="C466" t="s">
        <v>14</v>
      </c>
      <c r="D466" t="s">
        <v>25</v>
      </c>
      <c r="E466">
        <v>25</v>
      </c>
      <c r="F466">
        <v>4</v>
      </c>
      <c r="G466">
        <v>9.3000000000000007</v>
      </c>
      <c r="H466">
        <v>2.5</v>
      </c>
      <c r="I466">
        <v>0.5</v>
      </c>
      <c r="J466">
        <v>3.3</v>
      </c>
      <c r="K466" s="1">
        <v>85300</v>
      </c>
      <c r="L466" t="s">
        <v>21</v>
      </c>
    </row>
    <row r="467" spans="1:12">
      <c r="A467" t="s">
        <v>514</v>
      </c>
      <c r="B467" t="s">
        <v>41</v>
      </c>
      <c r="C467" t="s">
        <v>14</v>
      </c>
      <c r="D467" t="s">
        <v>25</v>
      </c>
      <c r="E467">
        <v>26</v>
      </c>
      <c r="F467">
        <v>25</v>
      </c>
      <c r="G467">
        <v>11</v>
      </c>
      <c r="H467">
        <v>2.1</v>
      </c>
      <c r="I467">
        <v>0.9</v>
      </c>
      <c r="J467">
        <v>3.3</v>
      </c>
      <c r="K467" s="1">
        <v>85300</v>
      </c>
      <c r="L467" t="s">
        <v>16</v>
      </c>
    </row>
    <row r="468" spans="1:12">
      <c r="A468" t="s">
        <v>515</v>
      </c>
      <c r="B468" t="s">
        <v>75</v>
      </c>
      <c r="C468" t="s">
        <v>14</v>
      </c>
      <c r="D468" t="s">
        <v>34</v>
      </c>
      <c r="E468">
        <v>34</v>
      </c>
      <c r="F468">
        <v>63</v>
      </c>
      <c r="G468">
        <v>14.3</v>
      </c>
      <c r="H468">
        <v>4.0999999999999996</v>
      </c>
      <c r="I468">
        <v>1.1000000000000001</v>
      </c>
      <c r="J468">
        <v>3.3</v>
      </c>
      <c r="K468" s="1">
        <v>4000000</v>
      </c>
      <c r="L468" t="s">
        <v>16</v>
      </c>
    </row>
    <row r="469" spans="1:12">
      <c r="A469" t="s">
        <v>516</v>
      </c>
      <c r="B469" t="s">
        <v>100</v>
      </c>
      <c r="C469" t="s">
        <v>14</v>
      </c>
      <c r="D469" t="s">
        <v>15</v>
      </c>
      <c r="E469">
        <v>25</v>
      </c>
      <c r="F469">
        <v>3</v>
      </c>
      <c r="G469">
        <v>14.3</v>
      </c>
      <c r="H469">
        <v>1</v>
      </c>
      <c r="I469">
        <v>3.3</v>
      </c>
      <c r="J469">
        <v>3.3</v>
      </c>
      <c r="K469" s="1">
        <v>85300</v>
      </c>
      <c r="L469" t="s">
        <v>21</v>
      </c>
    </row>
    <row r="470" spans="1:12">
      <c r="A470" t="s">
        <v>517</v>
      </c>
      <c r="B470" t="s">
        <v>56</v>
      </c>
      <c r="C470" t="s">
        <v>24</v>
      </c>
      <c r="D470" t="s">
        <v>34</v>
      </c>
      <c r="E470">
        <v>24</v>
      </c>
      <c r="F470">
        <v>4</v>
      </c>
      <c r="G470">
        <v>14.5</v>
      </c>
      <c r="H470">
        <v>2</v>
      </c>
      <c r="I470">
        <v>0.8</v>
      </c>
      <c r="J470">
        <v>3.3</v>
      </c>
      <c r="K470" s="1">
        <v>1000000</v>
      </c>
      <c r="L470" t="s">
        <v>21</v>
      </c>
    </row>
    <row r="471" spans="1:12">
      <c r="A471" t="s">
        <v>518</v>
      </c>
      <c r="B471" t="s">
        <v>43</v>
      </c>
      <c r="C471" t="s">
        <v>14</v>
      </c>
      <c r="D471" t="s">
        <v>15</v>
      </c>
      <c r="E471">
        <v>28</v>
      </c>
      <c r="F471">
        <v>46</v>
      </c>
      <c r="G471">
        <v>10.7</v>
      </c>
      <c r="H471">
        <v>1.2</v>
      </c>
      <c r="I471">
        <v>0.6</v>
      </c>
      <c r="J471">
        <v>3.2</v>
      </c>
      <c r="K471" s="1">
        <v>2874436</v>
      </c>
      <c r="L471" t="s">
        <v>21</v>
      </c>
    </row>
    <row r="472" spans="1:12">
      <c r="A472" t="s">
        <v>519</v>
      </c>
      <c r="B472" t="s">
        <v>36</v>
      </c>
      <c r="C472" t="s">
        <v>24</v>
      </c>
      <c r="D472" t="s">
        <v>25</v>
      </c>
      <c r="E472">
        <v>24</v>
      </c>
      <c r="F472">
        <v>6</v>
      </c>
      <c r="G472">
        <v>3.5</v>
      </c>
      <c r="H472">
        <v>1</v>
      </c>
      <c r="I472">
        <v>0.2</v>
      </c>
      <c r="J472">
        <v>3.2</v>
      </c>
      <c r="K472" s="1">
        <v>636435</v>
      </c>
      <c r="L472" t="s">
        <v>16</v>
      </c>
    </row>
    <row r="473" spans="1:12">
      <c r="A473" t="s">
        <v>520</v>
      </c>
      <c r="B473" t="s">
        <v>50</v>
      </c>
      <c r="C473" t="s">
        <v>14</v>
      </c>
      <c r="D473" t="s">
        <v>34</v>
      </c>
      <c r="E473">
        <v>34</v>
      </c>
      <c r="F473">
        <v>42</v>
      </c>
      <c r="G473">
        <v>8.6</v>
      </c>
      <c r="H473">
        <v>1.8</v>
      </c>
      <c r="I473">
        <v>1.2</v>
      </c>
      <c r="J473">
        <v>3.2</v>
      </c>
      <c r="K473" s="1">
        <v>13445122</v>
      </c>
      <c r="L473" t="s">
        <v>16</v>
      </c>
    </row>
    <row r="474" spans="1:12">
      <c r="A474" t="s">
        <v>521</v>
      </c>
      <c r="B474" t="s">
        <v>70</v>
      </c>
      <c r="C474" t="s">
        <v>24</v>
      </c>
      <c r="D474" t="s">
        <v>25</v>
      </c>
      <c r="E474">
        <v>24</v>
      </c>
      <c r="F474">
        <v>61</v>
      </c>
      <c r="G474">
        <v>8.5</v>
      </c>
      <c r="H474">
        <v>1.5</v>
      </c>
      <c r="I474">
        <v>0.4</v>
      </c>
      <c r="J474">
        <v>3.1</v>
      </c>
      <c r="K474" s="1">
        <v>1955377</v>
      </c>
      <c r="L474" t="s">
        <v>21</v>
      </c>
    </row>
    <row r="475" spans="1:12">
      <c r="A475" t="s">
        <v>522</v>
      </c>
      <c r="B475" t="s">
        <v>75</v>
      </c>
      <c r="C475" t="s">
        <v>14</v>
      </c>
      <c r="D475" t="s">
        <v>15</v>
      </c>
      <c r="E475">
        <v>23</v>
      </c>
      <c r="F475">
        <v>14</v>
      </c>
      <c r="G475">
        <v>9.6</v>
      </c>
      <c r="H475">
        <v>1.7</v>
      </c>
      <c r="I475">
        <v>0.9</v>
      </c>
      <c r="J475">
        <v>3.1</v>
      </c>
      <c r="K475" s="1">
        <v>636435</v>
      </c>
      <c r="L475" t="s">
        <v>21</v>
      </c>
    </row>
    <row r="476" spans="1:12">
      <c r="A476" t="s">
        <v>523</v>
      </c>
      <c r="B476" t="s">
        <v>36</v>
      </c>
      <c r="C476" t="s">
        <v>24</v>
      </c>
      <c r="D476" t="s">
        <v>15</v>
      </c>
      <c r="E476">
        <v>23</v>
      </c>
      <c r="F476">
        <v>7</v>
      </c>
      <c r="G476">
        <v>3.7</v>
      </c>
      <c r="H476">
        <v>0.3</v>
      </c>
      <c r="I476">
        <v>0.3</v>
      </c>
      <c r="J476">
        <v>3.1</v>
      </c>
      <c r="K476" s="1">
        <v>296271</v>
      </c>
      <c r="L476" t="s">
        <v>21</v>
      </c>
    </row>
    <row r="477" spans="1:12">
      <c r="A477" t="s">
        <v>524</v>
      </c>
      <c r="B477" t="s">
        <v>33</v>
      </c>
      <c r="C477" t="s">
        <v>14</v>
      </c>
      <c r="D477" t="s">
        <v>15</v>
      </c>
      <c r="E477">
        <v>29</v>
      </c>
      <c r="F477">
        <v>67</v>
      </c>
      <c r="G477">
        <v>14.6</v>
      </c>
      <c r="H477">
        <v>1.1000000000000001</v>
      </c>
      <c r="I477">
        <v>2.4</v>
      </c>
      <c r="J477">
        <v>3</v>
      </c>
      <c r="K477" s="1">
        <v>814552</v>
      </c>
      <c r="L477" t="s">
        <v>21</v>
      </c>
    </row>
    <row r="478" spans="1:12">
      <c r="A478" t="s">
        <v>525</v>
      </c>
      <c r="B478" t="s">
        <v>43</v>
      </c>
      <c r="C478" t="s">
        <v>14</v>
      </c>
      <c r="D478" t="s">
        <v>25</v>
      </c>
      <c r="E478">
        <v>24</v>
      </c>
      <c r="F478">
        <v>4</v>
      </c>
      <c r="G478">
        <v>10</v>
      </c>
      <c r="H478">
        <v>1.3</v>
      </c>
      <c r="I478">
        <v>0.5</v>
      </c>
      <c r="J478">
        <v>3</v>
      </c>
      <c r="K478" s="1">
        <v>153622</v>
      </c>
      <c r="L478" t="s">
        <v>21</v>
      </c>
    </row>
    <row r="479" spans="1:12">
      <c r="A479" t="s">
        <v>526</v>
      </c>
      <c r="B479" t="s">
        <v>31</v>
      </c>
      <c r="C479" t="s">
        <v>24</v>
      </c>
      <c r="D479" t="s">
        <v>25</v>
      </c>
      <c r="E479">
        <v>22</v>
      </c>
      <c r="F479">
        <v>3</v>
      </c>
      <c r="G479">
        <v>5.7</v>
      </c>
      <c r="H479">
        <v>1</v>
      </c>
      <c r="I479">
        <v>0.3</v>
      </c>
      <c r="J479">
        <v>3</v>
      </c>
      <c r="K479" s="1">
        <v>2896132</v>
      </c>
      <c r="L479" t="s">
        <v>21</v>
      </c>
    </row>
    <row r="480" spans="1:12">
      <c r="A480" t="s">
        <v>527</v>
      </c>
      <c r="B480" t="s">
        <v>43</v>
      </c>
      <c r="C480" t="s">
        <v>14</v>
      </c>
      <c r="D480" t="s">
        <v>34</v>
      </c>
      <c r="E480">
        <v>19</v>
      </c>
      <c r="F480">
        <v>46</v>
      </c>
      <c r="G480">
        <v>8.9</v>
      </c>
      <c r="H480">
        <v>2.9</v>
      </c>
      <c r="I480">
        <v>0.1</v>
      </c>
      <c r="J480">
        <v>3</v>
      </c>
      <c r="K480" s="1">
        <v>6016080</v>
      </c>
      <c r="L480" t="s">
        <v>16</v>
      </c>
    </row>
    <row r="481" spans="1:12">
      <c r="A481" t="s">
        <v>528</v>
      </c>
      <c r="B481" t="s">
        <v>122</v>
      </c>
      <c r="C481" t="s">
        <v>24</v>
      </c>
      <c r="D481" t="s">
        <v>25</v>
      </c>
      <c r="E481">
        <v>25</v>
      </c>
      <c r="F481">
        <v>5</v>
      </c>
      <c r="G481">
        <v>6.6</v>
      </c>
      <c r="H481">
        <v>0.6</v>
      </c>
      <c r="I481">
        <v>0.8</v>
      </c>
      <c r="J481">
        <v>3</v>
      </c>
      <c r="K481" s="1">
        <v>815661</v>
      </c>
      <c r="L481" t="s">
        <v>16</v>
      </c>
    </row>
    <row r="482" spans="1:12">
      <c r="A482" t="s">
        <v>529</v>
      </c>
      <c r="B482" t="s">
        <v>56</v>
      </c>
      <c r="C482" t="s">
        <v>24</v>
      </c>
      <c r="D482" t="s">
        <v>15</v>
      </c>
      <c r="E482">
        <v>30</v>
      </c>
      <c r="F482">
        <v>6</v>
      </c>
      <c r="G482">
        <v>10.8</v>
      </c>
      <c r="H482">
        <v>1.2</v>
      </c>
      <c r="I482">
        <v>1.5</v>
      </c>
      <c r="J482">
        <v>3</v>
      </c>
      <c r="K482" s="1">
        <v>321184</v>
      </c>
      <c r="L482" t="s">
        <v>21</v>
      </c>
    </row>
    <row r="483" spans="1:12">
      <c r="A483" t="s">
        <v>530</v>
      </c>
      <c r="B483" t="s">
        <v>20</v>
      </c>
      <c r="C483" t="s">
        <v>14</v>
      </c>
      <c r="D483" t="s">
        <v>25</v>
      </c>
      <c r="E483">
        <v>22</v>
      </c>
      <c r="F483">
        <v>48</v>
      </c>
      <c r="G483">
        <v>8.9</v>
      </c>
      <c r="H483">
        <v>1</v>
      </c>
      <c r="I483">
        <v>0.2</v>
      </c>
      <c r="J483">
        <v>2.9</v>
      </c>
      <c r="K483" s="1">
        <v>2221677</v>
      </c>
      <c r="L483" t="s">
        <v>21</v>
      </c>
    </row>
    <row r="484" spans="1:12">
      <c r="A484" t="s">
        <v>531</v>
      </c>
      <c r="B484" t="s">
        <v>13</v>
      </c>
      <c r="C484" t="s">
        <v>14</v>
      </c>
      <c r="D484" t="s">
        <v>15</v>
      </c>
      <c r="E484">
        <v>22</v>
      </c>
      <c r="F484">
        <v>16</v>
      </c>
      <c r="G484">
        <v>7.4</v>
      </c>
      <c r="H484">
        <v>0.8</v>
      </c>
      <c r="I484">
        <v>0.6</v>
      </c>
      <c r="J484">
        <v>2.9</v>
      </c>
      <c r="K484" s="1">
        <v>5480297</v>
      </c>
      <c r="L484" t="s">
        <v>21</v>
      </c>
    </row>
    <row r="485" spans="1:12">
      <c r="A485" t="s">
        <v>532</v>
      </c>
      <c r="B485" t="s">
        <v>13</v>
      </c>
      <c r="C485" t="s">
        <v>14</v>
      </c>
      <c r="D485" t="s">
        <v>15</v>
      </c>
      <c r="E485">
        <v>21</v>
      </c>
      <c r="F485">
        <v>42</v>
      </c>
      <c r="G485">
        <v>8.9</v>
      </c>
      <c r="H485">
        <v>0.5</v>
      </c>
      <c r="I485">
        <v>1.2</v>
      </c>
      <c r="J485">
        <v>2.9</v>
      </c>
      <c r="K485" s="1">
        <v>1955377</v>
      </c>
      <c r="L485" t="s">
        <v>21</v>
      </c>
    </row>
    <row r="486" spans="1:12">
      <c r="A486" t="s">
        <v>533</v>
      </c>
      <c r="B486" t="s">
        <v>33</v>
      </c>
      <c r="C486" t="s">
        <v>14</v>
      </c>
      <c r="D486" t="s">
        <v>15</v>
      </c>
      <c r="E486">
        <v>24</v>
      </c>
      <c r="F486">
        <v>10</v>
      </c>
      <c r="G486">
        <v>8.8000000000000007</v>
      </c>
      <c r="H486">
        <v>1.1000000000000001</v>
      </c>
      <c r="I486">
        <v>1</v>
      </c>
      <c r="J486">
        <v>2.9</v>
      </c>
      <c r="K486" s="1">
        <v>85300</v>
      </c>
      <c r="L486" t="s">
        <v>21</v>
      </c>
    </row>
    <row r="487" spans="1:12">
      <c r="A487" t="s">
        <v>534</v>
      </c>
      <c r="B487" t="s">
        <v>50</v>
      </c>
      <c r="C487" t="s">
        <v>14</v>
      </c>
      <c r="D487" t="s">
        <v>25</v>
      </c>
      <c r="E487">
        <v>24</v>
      </c>
      <c r="F487">
        <v>11</v>
      </c>
      <c r="G487">
        <v>6.2</v>
      </c>
      <c r="H487">
        <v>1.2</v>
      </c>
      <c r="I487">
        <v>1.6</v>
      </c>
      <c r="J487">
        <v>2.9</v>
      </c>
      <c r="K487" s="1">
        <v>85300</v>
      </c>
      <c r="L487" t="s">
        <v>16</v>
      </c>
    </row>
    <row r="488" spans="1:12">
      <c r="A488" t="s">
        <v>535</v>
      </c>
      <c r="B488" t="s">
        <v>29</v>
      </c>
      <c r="C488" t="s">
        <v>14</v>
      </c>
      <c r="D488" t="s">
        <v>15</v>
      </c>
      <c r="E488">
        <v>40</v>
      </c>
      <c r="F488">
        <v>16</v>
      </c>
      <c r="G488">
        <v>14.3</v>
      </c>
      <c r="H488">
        <v>1.8</v>
      </c>
      <c r="I488">
        <v>3.3</v>
      </c>
      <c r="J488">
        <v>2.9</v>
      </c>
      <c r="K488" s="1">
        <v>3634153</v>
      </c>
      <c r="L488" t="s">
        <v>21</v>
      </c>
    </row>
    <row r="489" spans="1:12">
      <c r="A489" t="s">
        <v>536</v>
      </c>
      <c r="B489" t="s">
        <v>52</v>
      </c>
      <c r="C489" t="s">
        <v>14</v>
      </c>
      <c r="D489" t="s">
        <v>34</v>
      </c>
      <c r="E489">
        <v>29</v>
      </c>
      <c r="F489">
        <v>32</v>
      </c>
      <c r="G489">
        <v>8.1</v>
      </c>
      <c r="H489">
        <v>1.2</v>
      </c>
      <c r="I489">
        <v>0.3</v>
      </c>
      <c r="J489">
        <v>2.9</v>
      </c>
      <c r="K489" s="1">
        <v>2221677</v>
      </c>
      <c r="L489" t="s">
        <v>16</v>
      </c>
    </row>
    <row r="490" spans="1:12">
      <c r="A490" t="s">
        <v>537</v>
      </c>
      <c r="B490" t="s">
        <v>29</v>
      </c>
      <c r="C490" t="s">
        <v>14</v>
      </c>
      <c r="D490" t="s">
        <v>15</v>
      </c>
      <c r="E490">
        <v>20</v>
      </c>
      <c r="F490">
        <v>55</v>
      </c>
      <c r="G490">
        <v>8.6999999999999993</v>
      </c>
      <c r="H490">
        <v>1.4</v>
      </c>
      <c r="I490">
        <v>0.6</v>
      </c>
      <c r="J490">
        <v>2.8</v>
      </c>
      <c r="K490" s="1">
        <v>1955377</v>
      </c>
      <c r="L490" t="s">
        <v>21</v>
      </c>
    </row>
    <row r="491" spans="1:12">
      <c r="A491" t="s">
        <v>538</v>
      </c>
      <c r="B491" t="s">
        <v>72</v>
      </c>
      <c r="C491" t="s">
        <v>14</v>
      </c>
      <c r="D491" t="s">
        <v>34</v>
      </c>
      <c r="E491">
        <v>29</v>
      </c>
      <c r="F491">
        <v>21</v>
      </c>
      <c r="G491">
        <v>14.7</v>
      </c>
      <c r="H491">
        <v>5.6</v>
      </c>
      <c r="I491">
        <v>1.6</v>
      </c>
      <c r="J491">
        <v>2.8</v>
      </c>
      <c r="K491" s="1">
        <v>8000000</v>
      </c>
      <c r="L491" t="s">
        <v>21</v>
      </c>
    </row>
    <row r="492" spans="1:12">
      <c r="A492" t="s">
        <v>539</v>
      </c>
      <c r="B492" t="s">
        <v>29</v>
      </c>
      <c r="C492" t="s">
        <v>14</v>
      </c>
      <c r="D492" t="s">
        <v>25</v>
      </c>
      <c r="E492">
        <v>24</v>
      </c>
      <c r="F492">
        <v>6</v>
      </c>
      <c r="G492">
        <v>4</v>
      </c>
      <c r="H492">
        <v>1.2</v>
      </c>
      <c r="I492">
        <v>0.3</v>
      </c>
      <c r="J492">
        <v>2.8</v>
      </c>
      <c r="K492" s="1">
        <v>190199</v>
      </c>
      <c r="L492" t="s">
        <v>16</v>
      </c>
    </row>
    <row r="493" spans="1:12">
      <c r="A493" t="s">
        <v>540</v>
      </c>
      <c r="B493" t="s">
        <v>47</v>
      </c>
      <c r="C493" t="s">
        <v>14</v>
      </c>
      <c r="D493" t="s">
        <v>25</v>
      </c>
      <c r="E493">
        <v>30</v>
      </c>
      <c r="F493">
        <v>46</v>
      </c>
      <c r="G493">
        <v>8.8000000000000007</v>
      </c>
      <c r="H493">
        <v>1.6</v>
      </c>
      <c r="I493">
        <v>0.5</v>
      </c>
      <c r="J493">
        <v>2.8</v>
      </c>
      <c r="K493" s="1">
        <v>2667947</v>
      </c>
      <c r="L493" t="s">
        <v>21</v>
      </c>
    </row>
    <row r="494" spans="1:12">
      <c r="A494" t="s">
        <v>541</v>
      </c>
      <c r="B494" t="s">
        <v>20</v>
      </c>
      <c r="C494" t="s">
        <v>14</v>
      </c>
      <c r="D494" t="s">
        <v>34</v>
      </c>
      <c r="E494">
        <v>19</v>
      </c>
      <c r="F494">
        <v>5</v>
      </c>
      <c r="G494">
        <v>7.2</v>
      </c>
      <c r="H494">
        <v>2.8</v>
      </c>
      <c r="I494">
        <v>0.4</v>
      </c>
      <c r="J494">
        <v>2.8</v>
      </c>
      <c r="K494" s="1">
        <v>85300</v>
      </c>
      <c r="L494" t="s">
        <v>16</v>
      </c>
    </row>
    <row r="495" spans="1:12">
      <c r="A495" t="s">
        <v>542</v>
      </c>
      <c r="B495" t="s">
        <v>36</v>
      </c>
      <c r="C495" t="s">
        <v>24</v>
      </c>
      <c r="D495" t="s">
        <v>15</v>
      </c>
      <c r="E495">
        <v>31</v>
      </c>
      <c r="F495">
        <v>48</v>
      </c>
      <c r="G495">
        <v>13.8</v>
      </c>
      <c r="H495">
        <v>1.3</v>
      </c>
      <c r="I495">
        <v>1.1000000000000001</v>
      </c>
      <c r="J495">
        <v>2.7</v>
      </c>
      <c r="K495" s="1">
        <v>3634153</v>
      </c>
      <c r="L495" t="s">
        <v>21</v>
      </c>
    </row>
    <row r="496" spans="1:12">
      <c r="A496" t="s">
        <v>543</v>
      </c>
      <c r="B496" t="s">
        <v>87</v>
      </c>
      <c r="C496" t="s">
        <v>24</v>
      </c>
      <c r="D496" t="s">
        <v>15</v>
      </c>
      <c r="E496">
        <v>25</v>
      </c>
      <c r="F496">
        <v>10</v>
      </c>
      <c r="G496">
        <v>6.8</v>
      </c>
      <c r="H496">
        <v>0.8</v>
      </c>
      <c r="I496">
        <v>0.3</v>
      </c>
      <c r="J496">
        <v>2.7</v>
      </c>
      <c r="K496" s="1">
        <v>85300</v>
      </c>
      <c r="L496" t="s">
        <v>21</v>
      </c>
    </row>
    <row r="497" spans="1:12">
      <c r="A497" t="s">
        <v>544</v>
      </c>
      <c r="B497" t="s">
        <v>87</v>
      </c>
      <c r="C497" t="s">
        <v>24</v>
      </c>
      <c r="D497" t="s">
        <v>15</v>
      </c>
      <c r="E497">
        <v>33</v>
      </c>
      <c r="F497">
        <v>42</v>
      </c>
      <c r="G497">
        <v>7.1</v>
      </c>
      <c r="H497">
        <v>1.5</v>
      </c>
      <c r="I497">
        <v>0.4</v>
      </c>
      <c r="J497">
        <v>2.6</v>
      </c>
      <c r="K497" s="1">
        <v>1315814</v>
      </c>
      <c r="L497" t="s">
        <v>21</v>
      </c>
    </row>
    <row r="498" spans="1:12">
      <c r="A498" t="s">
        <v>545</v>
      </c>
      <c r="B498" t="s">
        <v>65</v>
      </c>
      <c r="C498" t="s">
        <v>24</v>
      </c>
      <c r="D498" t="s">
        <v>25</v>
      </c>
      <c r="E498">
        <v>28</v>
      </c>
      <c r="F498">
        <v>52</v>
      </c>
      <c r="G498">
        <v>10</v>
      </c>
      <c r="H498">
        <v>2.5</v>
      </c>
      <c r="I498">
        <v>0.4</v>
      </c>
      <c r="J498">
        <v>2.6</v>
      </c>
      <c r="K498" s="1">
        <v>15000000</v>
      </c>
      <c r="L498" t="s">
        <v>21</v>
      </c>
    </row>
    <row r="499" spans="1:12">
      <c r="A499" t="s">
        <v>546</v>
      </c>
      <c r="B499" t="s">
        <v>47</v>
      </c>
      <c r="C499" t="s">
        <v>14</v>
      </c>
      <c r="D499" t="s">
        <v>15</v>
      </c>
      <c r="E499">
        <v>23</v>
      </c>
      <c r="F499">
        <v>28</v>
      </c>
      <c r="G499">
        <v>7.8</v>
      </c>
      <c r="H499">
        <v>1.2</v>
      </c>
      <c r="I499">
        <v>1.3</v>
      </c>
      <c r="J499">
        <v>2.5</v>
      </c>
      <c r="K499" s="1">
        <v>82030</v>
      </c>
      <c r="L499" t="s">
        <v>21</v>
      </c>
    </row>
    <row r="500" spans="1:12">
      <c r="A500" t="s">
        <v>547</v>
      </c>
      <c r="B500" t="s">
        <v>23</v>
      </c>
      <c r="C500" t="s">
        <v>24</v>
      </c>
      <c r="D500" t="s">
        <v>15</v>
      </c>
      <c r="E500">
        <v>24</v>
      </c>
      <c r="F500">
        <v>6</v>
      </c>
      <c r="G500">
        <v>7</v>
      </c>
      <c r="H500">
        <v>1</v>
      </c>
      <c r="I500">
        <v>0.3</v>
      </c>
      <c r="J500">
        <v>2.5</v>
      </c>
      <c r="K500" s="1">
        <v>552309</v>
      </c>
      <c r="L500" t="s">
        <v>21</v>
      </c>
    </row>
    <row r="501" spans="1:12">
      <c r="A501" t="s">
        <v>548</v>
      </c>
      <c r="B501" t="s">
        <v>72</v>
      </c>
      <c r="C501" t="s">
        <v>14</v>
      </c>
      <c r="D501" t="s">
        <v>34</v>
      </c>
      <c r="E501">
        <v>25</v>
      </c>
      <c r="F501">
        <v>5</v>
      </c>
      <c r="G501">
        <v>8.4</v>
      </c>
      <c r="H501">
        <v>1</v>
      </c>
      <c r="I501">
        <v>0.4</v>
      </c>
      <c r="J501">
        <v>2.4</v>
      </c>
      <c r="K501" s="1">
        <v>85300</v>
      </c>
      <c r="L501" t="s">
        <v>21</v>
      </c>
    </row>
    <row r="502" spans="1:12">
      <c r="A502" t="s">
        <v>549</v>
      </c>
      <c r="B502" t="s">
        <v>36</v>
      </c>
      <c r="C502" t="s">
        <v>24</v>
      </c>
      <c r="D502" t="s">
        <v>15</v>
      </c>
      <c r="E502">
        <v>24</v>
      </c>
      <c r="F502">
        <v>48</v>
      </c>
      <c r="G502">
        <v>8.5</v>
      </c>
      <c r="H502">
        <v>1.5</v>
      </c>
      <c r="I502">
        <v>0.9</v>
      </c>
      <c r="J502">
        <v>2.4</v>
      </c>
      <c r="K502" s="1">
        <v>2221677</v>
      </c>
      <c r="L502" t="s">
        <v>21</v>
      </c>
    </row>
    <row r="503" spans="1:12">
      <c r="A503" t="s">
        <v>550</v>
      </c>
      <c r="B503" t="s">
        <v>58</v>
      </c>
      <c r="C503" t="s">
        <v>24</v>
      </c>
      <c r="D503" t="s">
        <v>15</v>
      </c>
      <c r="E503">
        <v>24</v>
      </c>
      <c r="F503">
        <v>34</v>
      </c>
      <c r="G503">
        <v>7.7</v>
      </c>
      <c r="H503">
        <v>0.7</v>
      </c>
      <c r="I503">
        <v>0.5</v>
      </c>
      <c r="J503">
        <v>2.4</v>
      </c>
      <c r="K503" s="1">
        <v>1272870</v>
      </c>
      <c r="L503" t="s">
        <v>21</v>
      </c>
    </row>
    <row r="504" spans="1:12">
      <c r="A504" t="s">
        <v>551</v>
      </c>
      <c r="B504" t="s">
        <v>45</v>
      </c>
      <c r="C504" t="s">
        <v>24</v>
      </c>
      <c r="D504" t="s">
        <v>25</v>
      </c>
      <c r="E504">
        <v>24</v>
      </c>
      <c r="F504">
        <v>21</v>
      </c>
      <c r="G504">
        <v>7.4</v>
      </c>
      <c r="H504">
        <v>1.3</v>
      </c>
      <c r="I504">
        <v>1</v>
      </c>
      <c r="J504">
        <v>2.4</v>
      </c>
      <c r="K504" s="1">
        <v>85300</v>
      </c>
      <c r="L504" t="s">
        <v>21</v>
      </c>
    </row>
    <row r="505" spans="1:12">
      <c r="A505" t="s">
        <v>552</v>
      </c>
      <c r="B505" t="s">
        <v>122</v>
      </c>
      <c r="C505" t="s">
        <v>24</v>
      </c>
      <c r="D505" t="s">
        <v>34</v>
      </c>
      <c r="E505">
        <v>22</v>
      </c>
      <c r="F505">
        <v>37</v>
      </c>
      <c r="G505">
        <v>9.3000000000000007</v>
      </c>
      <c r="H505">
        <v>3</v>
      </c>
      <c r="I505">
        <v>1.1000000000000001</v>
      </c>
      <c r="J505">
        <v>2.4</v>
      </c>
      <c r="K505" s="1">
        <v>85300</v>
      </c>
      <c r="L505" t="s">
        <v>16</v>
      </c>
    </row>
    <row r="506" spans="1:12">
      <c r="A506" t="s">
        <v>553</v>
      </c>
      <c r="B506" t="s">
        <v>50</v>
      </c>
      <c r="C506" t="s">
        <v>14</v>
      </c>
      <c r="D506" t="s">
        <v>15</v>
      </c>
      <c r="E506">
        <v>28</v>
      </c>
      <c r="F506">
        <v>40</v>
      </c>
      <c r="G506">
        <v>7.1</v>
      </c>
      <c r="H506">
        <v>0.7</v>
      </c>
      <c r="I506">
        <v>0.5</v>
      </c>
      <c r="J506">
        <v>2.4</v>
      </c>
      <c r="K506" s="1">
        <v>2461463</v>
      </c>
      <c r="L506" t="s">
        <v>21</v>
      </c>
    </row>
    <row r="507" spans="1:12">
      <c r="A507" t="s">
        <v>554</v>
      </c>
      <c r="B507" t="s">
        <v>23</v>
      </c>
      <c r="C507" t="s">
        <v>24</v>
      </c>
      <c r="D507" t="s">
        <v>25</v>
      </c>
      <c r="E507">
        <v>33</v>
      </c>
      <c r="F507">
        <v>9</v>
      </c>
      <c r="G507">
        <v>10.4</v>
      </c>
      <c r="H507">
        <v>2</v>
      </c>
      <c r="I507">
        <v>0.3</v>
      </c>
      <c r="J507">
        <v>2.2999999999999998</v>
      </c>
      <c r="K507" s="1">
        <v>3287409</v>
      </c>
      <c r="L507" t="s">
        <v>16</v>
      </c>
    </row>
    <row r="508" spans="1:12">
      <c r="A508" t="s">
        <v>555</v>
      </c>
      <c r="B508" t="s">
        <v>63</v>
      </c>
      <c r="C508" t="s">
        <v>24</v>
      </c>
      <c r="D508" t="s">
        <v>25</v>
      </c>
      <c r="E508">
        <v>23</v>
      </c>
      <c r="F508">
        <v>18</v>
      </c>
      <c r="G508">
        <v>4.2</v>
      </c>
      <c r="H508">
        <v>0.6</v>
      </c>
      <c r="I508">
        <v>0.2</v>
      </c>
      <c r="J508">
        <v>2.2999999999999998</v>
      </c>
      <c r="K508" s="1">
        <v>724598</v>
      </c>
      <c r="L508" t="s">
        <v>16</v>
      </c>
    </row>
    <row r="509" spans="1:12">
      <c r="A509" t="s">
        <v>556</v>
      </c>
      <c r="B509" t="s">
        <v>31</v>
      </c>
      <c r="C509" t="s">
        <v>24</v>
      </c>
      <c r="D509" t="s">
        <v>15</v>
      </c>
      <c r="E509">
        <v>24</v>
      </c>
      <c r="F509">
        <v>12</v>
      </c>
      <c r="G509">
        <v>8.6</v>
      </c>
      <c r="H509">
        <v>2</v>
      </c>
      <c r="I509">
        <v>0.8</v>
      </c>
      <c r="J509">
        <v>2.2999999999999998</v>
      </c>
      <c r="K509" s="1">
        <v>376740</v>
      </c>
      <c r="L509" t="s">
        <v>16</v>
      </c>
    </row>
    <row r="510" spans="1:12">
      <c r="A510" t="s">
        <v>557</v>
      </c>
      <c r="B510" t="s">
        <v>47</v>
      </c>
      <c r="C510" t="s">
        <v>14</v>
      </c>
      <c r="D510" t="s">
        <v>25</v>
      </c>
      <c r="E510">
        <v>39</v>
      </c>
      <c r="F510">
        <v>30</v>
      </c>
      <c r="G510">
        <v>5.8</v>
      </c>
      <c r="H510">
        <v>0.8</v>
      </c>
      <c r="I510">
        <v>0.3</v>
      </c>
      <c r="J510">
        <v>2.2000000000000002</v>
      </c>
      <c r="K510" s="1">
        <v>3634153</v>
      </c>
      <c r="L510" t="s">
        <v>21</v>
      </c>
    </row>
    <row r="511" spans="1:12">
      <c r="A511" t="s">
        <v>558</v>
      </c>
      <c r="B511" t="s">
        <v>52</v>
      </c>
      <c r="C511" t="s">
        <v>14</v>
      </c>
      <c r="D511" t="s">
        <v>34</v>
      </c>
      <c r="E511">
        <v>20</v>
      </c>
      <c r="F511">
        <v>43</v>
      </c>
      <c r="G511">
        <v>7</v>
      </c>
      <c r="H511">
        <v>1.5</v>
      </c>
      <c r="I511">
        <v>0.5</v>
      </c>
      <c r="J511">
        <v>2.2000000000000002</v>
      </c>
      <c r="K511" s="1">
        <v>4422360</v>
      </c>
      <c r="L511" t="s">
        <v>16</v>
      </c>
    </row>
    <row r="512" spans="1:12">
      <c r="A512" t="s">
        <v>559</v>
      </c>
      <c r="B512" t="s">
        <v>45</v>
      </c>
      <c r="C512" t="s">
        <v>24</v>
      </c>
      <c r="D512" t="s">
        <v>34</v>
      </c>
      <c r="E512">
        <v>23</v>
      </c>
      <c r="F512">
        <v>54</v>
      </c>
      <c r="G512">
        <v>9.1999999999999993</v>
      </c>
      <c r="H512">
        <v>2.9</v>
      </c>
      <c r="I512">
        <v>0.5</v>
      </c>
      <c r="J512">
        <v>2.2000000000000002</v>
      </c>
      <c r="K512" s="1">
        <v>1955377</v>
      </c>
      <c r="L512" t="s">
        <v>16</v>
      </c>
    </row>
    <row r="513" spans="1:12">
      <c r="A513" t="s">
        <v>560</v>
      </c>
      <c r="B513" t="s">
        <v>70</v>
      </c>
      <c r="C513" t="s">
        <v>24</v>
      </c>
      <c r="D513" t="s">
        <v>15</v>
      </c>
      <c r="E513">
        <v>24</v>
      </c>
      <c r="F513">
        <v>23</v>
      </c>
      <c r="G513">
        <v>6.3</v>
      </c>
      <c r="H513">
        <v>0.9</v>
      </c>
      <c r="I513">
        <v>0.5</v>
      </c>
      <c r="J513">
        <v>2.2000000000000002</v>
      </c>
      <c r="K513" s="1">
        <v>85300</v>
      </c>
      <c r="L513" t="s">
        <v>21</v>
      </c>
    </row>
    <row r="514" spans="1:12">
      <c r="A514" t="s">
        <v>561</v>
      </c>
      <c r="B514" t="s">
        <v>33</v>
      </c>
      <c r="C514" t="s">
        <v>14</v>
      </c>
      <c r="D514" t="s">
        <v>25</v>
      </c>
      <c r="E514">
        <v>25</v>
      </c>
      <c r="F514">
        <v>21</v>
      </c>
      <c r="G514">
        <v>7.7</v>
      </c>
      <c r="H514">
        <v>1.7</v>
      </c>
      <c r="I514">
        <v>0.8</v>
      </c>
      <c r="J514">
        <v>2.2000000000000002</v>
      </c>
      <c r="K514" s="1">
        <v>2221677</v>
      </c>
      <c r="L514" t="s">
        <v>21</v>
      </c>
    </row>
    <row r="515" spans="1:12">
      <c r="A515" t="s">
        <v>562</v>
      </c>
      <c r="B515" t="s">
        <v>23</v>
      </c>
      <c r="C515" t="s">
        <v>24</v>
      </c>
      <c r="D515" t="s">
        <v>15</v>
      </c>
      <c r="E515">
        <v>26</v>
      </c>
      <c r="F515">
        <v>6</v>
      </c>
      <c r="G515">
        <v>10.3</v>
      </c>
      <c r="H515">
        <v>0.8</v>
      </c>
      <c r="I515">
        <v>1.8</v>
      </c>
      <c r="J515">
        <v>2</v>
      </c>
      <c r="K515" s="1">
        <v>28293</v>
      </c>
      <c r="L515" t="s">
        <v>16</v>
      </c>
    </row>
    <row r="516" spans="1:12">
      <c r="A516" t="s">
        <v>563</v>
      </c>
      <c r="B516" t="s">
        <v>47</v>
      </c>
      <c r="C516" t="s">
        <v>14</v>
      </c>
      <c r="D516" t="s">
        <v>25</v>
      </c>
      <c r="E516">
        <v>24</v>
      </c>
      <c r="F516">
        <v>14</v>
      </c>
      <c r="G516">
        <v>6.6</v>
      </c>
      <c r="H516">
        <v>1.1000000000000001</v>
      </c>
      <c r="I516">
        <v>0.4</v>
      </c>
      <c r="J516">
        <v>2</v>
      </c>
      <c r="K516" s="1">
        <v>85300</v>
      </c>
      <c r="L516" t="s">
        <v>21</v>
      </c>
    </row>
    <row r="517" spans="1:12">
      <c r="A517" t="s">
        <v>564</v>
      </c>
      <c r="B517" t="s">
        <v>122</v>
      </c>
      <c r="C517" t="s">
        <v>24</v>
      </c>
      <c r="D517" t="s">
        <v>25</v>
      </c>
      <c r="E517">
        <v>20</v>
      </c>
      <c r="F517">
        <v>2</v>
      </c>
      <c r="G517">
        <v>3</v>
      </c>
      <c r="H517">
        <v>0.5</v>
      </c>
      <c r="I517">
        <v>0.5</v>
      </c>
      <c r="J517">
        <v>2</v>
      </c>
      <c r="K517" s="1">
        <v>85300</v>
      </c>
      <c r="L517" t="s">
        <v>21</v>
      </c>
    </row>
    <row r="518" spans="1:12">
      <c r="A518" t="s">
        <v>565</v>
      </c>
      <c r="B518" t="s">
        <v>58</v>
      </c>
      <c r="C518" t="s">
        <v>24</v>
      </c>
      <c r="D518" t="s">
        <v>15</v>
      </c>
      <c r="E518">
        <v>23</v>
      </c>
      <c r="F518">
        <v>1</v>
      </c>
      <c r="G518">
        <v>7</v>
      </c>
      <c r="H518">
        <v>4</v>
      </c>
      <c r="I518">
        <v>2</v>
      </c>
      <c r="J518">
        <v>2</v>
      </c>
      <c r="K518" s="1">
        <v>85300</v>
      </c>
      <c r="L518" t="s">
        <v>21</v>
      </c>
    </row>
    <row r="519" spans="1:12">
      <c r="A519" t="s">
        <v>566</v>
      </c>
      <c r="B519" t="s">
        <v>20</v>
      </c>
      <c r="C519" t="s">
        <v>14</v>
      </c>
      <c r="D519" t="s">
        <v>15</v>
      </c>
      <c r="E519">
        <v>24</v>
      </c>
      <c r="F519">
        <v>21</v>
      </c>
      <c r="G519">
        <v>4.2</v>
      </c>
      <c r="H519">
        <v>0.8</v>
      </c>
      <c r="I519">
        <v>0.3</v>
      </c>
      <c r="J519">
        <v>2</v>
      </c>
      <c r="K519" s="1">
        <v>636435</v>
      </c>
      <c r="L519" t="s">
        <v>21</v>
      </c>
    </row>
    <row r="520" spans="1:12">
      <c r="A520" t="s">
        <v>567</v>
      </c>
      <c r="B520" t="s">
        <v>52</v>
      </c>
      <c r="C520" t="s">
        <v>14</v>
      </c>
      <c r="D520" t="s">
        <v>25</v>
      </c>
      <c r="E520">
        <v>23</v>
      </c>
      <c r="F520">
        <v>5</v>
      </c>
      <c r="G520">
        <v>4.4000000000000004</v>
      </c>
      <c r="H520">
        <v>1</v>
      </c>
      <c r="I520">
        <v>0</v>
      </c>
      <c r="J520">
        <v>2</v>
      </c>
      <c r="K520" s="1">
        <v>149965</v>
      </c>
      <c r="L520" t="s">
        <v>21</v>
      </c>
    </row>
    <row r="521" spans="1:12">
      <c r="A521" t="s">
        <v>568</v>
      </c>
      <c r="B521" t="s">
        <v>13</v>
      </c>
      <c r="C521" t="s">
        <v>14</v>
      </c>
      <c r="D521" t="s">
        <v>25</v>
      </c>
      <c r="E521">
        <v>34</v>
      </c>
      <c r="F521">
        <v>43</v>
      </c>
      <c r="G521">
        <v>10.7</v>
      </c>
      <c r="H521">
        <v>2</v>
      </c>
      <c r="I521">
        <v>0.6</v>
      </c>
      <c r="J521">
        <v>2</v>
      </c>
      <c r="K521" s="1">
        <v>11000000</v>
      </c>
      <c r="L521" t="s">
        <v>16</v>
      </c>
    </row>
    <row r="522" spans="1:12">
      <c r="A522" t="s">
        <v>569</v>
      </c>
      <c r="B522" t="s">
        <v>50</v>
      </c>
      <c r="C522" t="s">
        <v>14</v>
      </c>
      <c r="D522" t="s">
        <v>15</v>
      </c>
      <c r="E522">
        <v>29</v>
      </c>
      <c r="F522">
        <v>44</v>
      </c>
      <c r="G522">
        <v>6.4</v>
      </c>
      <c r="H522">
        <v>0.7</v>
      </c>
      <c r="I522">
        <v>0.9</v>
      </c>
      <c r="J522">
        <v>2</v>
      </c>
      <c r="K522" s="1">
        <v>2874436</v>
      </c>
      <c r="L522" t="s">
        <v>21</v>
      </c>
    </row>
    <row r="523" spans="1:12">
      <c r="A523" t="s">
        <v>570</v>
      </c>
      <c r="B523" t="s">
        <v>65</v>
      </c>
      <c r="C523" t="s">
        <v>24</v>
      </c>
      <c r="D523" t="s">
        <v>15</v>
      </c>
      <c r="E523">
        <v>28</v>
      </c>
      <c r="F523">
        <v>4</v>
      </c>
      <c r="G523">
        <v>6</v>
      </c>
      <c r="H523">
        <v>0.8</v>
      </c>
      <c r="I523">
        <v>1</v>
      </c>
      <c r="J523">
        <v>2</v>
      </c>
      <c r="K523" s="1">
        <v>201172</v>
      </c>
      <c r="L523" t="s">
        <v>21</v>
      </c>
    </row>
    <row r="524" spans="1:12">
      <c r="A524" t="s">
        <v>571</v>
      </c>
      <c r="B524" t="s">
        <v>29</v>
      </c>
      <c r="C524" t="s">
        <v>14</v>
      </c>
      <c r="D524" t="s">
        <v>15</v>
      </c>
      <c r="E524">
        <v>23</v>
      </c>
      <c r="F524">
        <v>7</v>
      </c>
      <c r="G524">
        <v>4.4000000000000004</v>
      </c>
      <c r="H524">
        <v>0.4</v>
      </c>
      <c r="I524">
        <v>0.7</v>
      </c>
      <c r="J524">
        <v>1.9</v>
      </c>
      <c r="K524" s="1">
        <v>193857</v>
      </c>
      <c r="L524" t="s">
        <v>21</v>
      </c>
    </row>
    <row r="525" spans="1:12">
      <c r="A525" t="s">
        <v>572</v>
      </c>
      <c r="B525" t="s">
        <v>13</v>
      </c>
      <c r="C525" t="s">
        <v>14</v>
      </c>
      <c r="D525" t="s">
        <v>25</v>
      </c>
      <c r="E525">
        <v>21</v>
      </c>
      <c r="F525">
        <v>25</v>
      </c>
      <c r="G525">
        <v>6</v>
      </c>
      <c r="H525">
        <v>1.1000000000000001</v>
      </c>
      <c r="I525">
        <v>0.4</v>
      </c>
      <c r="J525">
        <v>1.9</v>
      </c>
      <c r="K525" s="1">
        <v>1272870</v>
      </c>
      <c r="L525" t="s">
        <v>21</v>
      </c>
    </row>
    <row r="526" spans="1:12">
      <c r="A526" t="s">
        <v>573</v>
      </c>
      <c r="B526" t="s">
        <v>58</v>
      </c>
      <c r="C526" t="s">
        <v>24</v>
      </c>
      <c r="D526" t="s">
        <v>25</v>
      </c>
      <c r="E526">
        <v>22</v>
      </c>
      <c r="F526">
        <v>12</v>
      </c>
      <c r="G526">
        <v>5.9</v>
      </c>
      <c r="H526">
        <v>1.6</v>
      </c>
      <c r="I526">
        <v>0.5</v>
      </c>
      <c r="J526">
        <v>1.8</v>
      </c>
      <c r="K526" s="1">
        <v>1955377</v>
      </c>
      <c r="L526" t="s">
        <v>16</v>
      </c>
    </row>
    <row r="527" spans="1:12">
      <c r="A527" t="s">
        <v>574</v>
      </c>
      <c r="B527" t="s">
        <v>43</v>
      </c>
      <c r="C527" t="s">
        <v>14</v>
      </c>
      <c r="D527" t="s">
        <v>25</v>
      </c>
      <c r="E527">
        <v>27</v>
      </c>
      <c r="F527">
        <v>36</v>
      </c>
      <c r="G527">
        <v>9.6</v>
      </c>
      <c r="H527">
        <v>1.7</v>
      </c>
      <c r="I527">
        <v>0.6</v>
      </c>
      <c r="J527">
        <v>1.8</v>
      </c>
      <c r="K527" s="1">
        <v>85300</v>
      </c>
      <c r="L527" t="s">
        <v>21</v>
      </c>
    </row>
    <row r="528" spans="1:12">
      <c r="A528" t="s">
        <v>575</v>
      </c>
      <c r="B528" t="s">
        <v>56</v>
      </c>
      <c r="C528" t="s">
        <v>24</v>
      </c>
      <c r="D528" t="s">
        <v>25</v>
      </c>
      <c r="E528">
        <v>30</v>
      </c>
      <c r="F528">
        <v>4</v>
      </c>
      <c r="G528">
        <v>13.8</v>
      </c>
      <c r="H528">
        <v>3.5</v>
      </c>
      <c r="I528">
        <v>0.5</v>
      </c>
      <c r="J528">
        <v>1.8</v>
      </c>
      <c r="K528" s="1">
        <v>165197</v>
      </c>
      <c r="L528" t="s">
        <v>21</v>
      </c>
    </row>
    <row r="529" spans="1:12">
      <c r="A529" t="s">
        <v>576</v>
      </c>
      <c r="B529" t="s">
        <v>65</v>
      </c>
      <c r="C529" t="s">
        <v>24</v>
      </c>
      <c r="D529" t="s">
        <v>34</v>
      </c>
      <c r="E529">
        <v>25</v>
      </c>
      <c r="F529">
        <v>4</v>
      </c>
      <c r="G529">
        <v>6.3</v>
      </c>
      <c r="H529">
        <v>1</v>
      </c>
      <c r="I529">
        <v>0.8</v>
      </c>
      <c r="J529">
        <v>1.8</v>
      </c>
      <c r="K529" s="1">
        <v>636435</v>
      </c>
      <c r="L529" t="s">
        <v>21</v>
      </c>
    </row>
    <row r="530" spans="1:12">
      <c r="A530" t="s">
        <v>577</v>
      </c>
      <c r="B530" t="s">
        <v>68</v>
      </c>
      <c r="C530" t="s">
        <v>24</v>
      </c>
      <c r="D530" t="s">
        <v>15</v>
      </c>
      <c r="E530">
        <v>25</v>
      </c>
      <c r="F530">
        <v>14</v>
      </c>
      <c r="G530">
        <v>4.0999999999999996</v>
      </c>
      <c r="H530">
        <v>0.3</v>
      </c>
      <c r="I530">
        <v>0.6</v>
      </c>
      <c r="J530">
        <v>1.8</v>
      </c>
      <c r="K530" s="1">
        <v>23546</v>
      </c>
      <c r="L530" t="s">
        <v>21</v>
      </c>
    </row>
    <row r="531" spans="1:12">
      <c r="A531" t="s">
        <v>578</v>
      </c>
      <c r="B531" t="s">
        <v>18</v>
      </c>
      <c r="C531" t="s">
        <v>14</v>
      </c>
      <c r="D531" t="s">
        <v>15</v>
      </c>
      <c r="E531">
        <v>23</v>
      </c>
      <c r="F531">
        <v>40</v>
      </c>
      <c r="G531">
        <v>8.6999999999999993</v>
      </c>
      <c r="H531">
        <v>2</v>
      </c>
      <c r="I531">
        <v>0.6</v>
      </c>
      <c r="J531">
        <v>1.7</v>
      </c>
      <c r="K531" s="1">
        <v>85300</v>
      </c>
      <c r="L531" t="s">
        <v>21</v>
      </c>
    </row>
    <row r="532" spans="1:12">
      <c r="A532" t="s">
        <v>579</v>
      </c>
      <c r="B532" t="s">
        <v>45</v>
      </c>
      <c r="C532" t="s">
        <v>24</v>
      </c>
      <c r="D532" t="s">
        <v>15</v>
      </c>
      <c r="E532">
        <v>20</v>
      </c>
      <c r="F532">
        <v>29</v>
      </c>
      <c r="G532">
        <v>4.7</v>
      </c>
      <c r="H532">
        <v>0.9</v>
      </c>
      <c r="I532">
        <v>0.4</v>
      </c>
      <c r="J532">
        <v>1.7</v>
      </c>
      <c r="K532" s="1">
        <v>2847600</v>
      </c>
      <c r="L532" t="s">
        <v>16</v>
      </c>
    </row>
    <row r="533" spans="1:12">
      <c r="A533" t="s">
        <v>580</v>
      </c>
      <c r="B533" t="s">
        <v>58</v>
      </c>
      <c r="C533" t="s">
        <v>24</v>
      </c>
      <c r="D533" t="s">
        <v>15</v>
      </c>
      <c r="E533">
        <v>24</v>
      </c>
      <c r="F533">
        <v>6</v>
      </c>
      <c r="G533">
        <v>10</v>
      </c>
      <c r="H533">
        <v>1</v>
      </c>
      <c r="I533">
        <v>0.7</v>
      </c>
      <c r="J533">
        <v>1.7</v>
      </c>
      <c r="K533" s="1">
        <v>85300</v>
      </c>
      <c r="L533" t="s">
        <v>21</v>
      </c>
    </row>
    <row r="534" spans="1:12">
      <c r="A534" t="s">
        <v>581</v>
      </c>
      <c r="B534" t="s">
        <v>50</v>
      </c>
      <c r="C534" t="s">
        <v>14</v>
      </c>
      <c r="D534" t="s">
        <v>34</v>
      </c>
      <c r="E534">
        <v>35</v>
      </c>
      <c r="F534">
        <v>20</v>
      </c>
      <c r="G534">
        <v>8.6</v>
      </c>
      <c r="H534">
        <v>2.7</v>
      </c>
      <c r="I534">
        <v>1</v>
      </c>
      <c r="J534">
        <v>1.6</v>
      </c>
      <c r="K534" s="1">
        <v>939867</v>
      </c>
      <c r="L534" t="s">
        <v>21</v>
      </c>
    </row>
    <row r="535" spans="1:12">
      <c r="A535" t="s">
        <v>582</v>
      </c>
      <c r="B535" t="s">
        <v>50</v>
      </c>
      <c r="C535" t="s">
        <v>14</v>
      </c>
      <c r="D535" t="s">
        <v>25</v>
      </c>
      <c r="E535">
        <v>23</v>
      </c>
      <c r="F535">
        <v>7</v>
      </c>
      <c r="G535">
        <v>3.7</v>
      </c>
      <c r="H535">
        <v>0.4</v>
      </c>
      <c r="I535">
        <v>0.1</v>
      </c>
      <c r="J535">
        <v>1.6</v>
      </c>
      <c r="K535" s="1">
        <v>85300</v>
      </c>
      <c r="L535" t="s">
        <v>21</v>
      </c>
    </row>
    <row r="536" spans="1:12">
      <c r="A536" t="s">
        <v>583</v>
      </c>
      <c r="B536" t="s">
        <v>63</v>
      </c>
      <c r="C536" t="s">
        <v>24</v>
      </c>
      <c r="D536" t="s">
        <v>25</v>
      </c>
      <c r="E536">
        <v>25</v>
      </c>
      <c r="F536">
        <v>5</v>
      </c>
      <c r="G536">
        <v>3.4</v>
      </c>
      <c r="H536">
        <v>0.2</v>
      </c>
      <c r="I536">
        <v>0.2</v>
      </c>
      <c r="J536">
        <v>1.6</v>
      </c>
      <c r="K536" s="1">
        <v>85300</v>
      </c>
      <c r="L536" t="s">
        <v>21</v>
      </c>
    </row>
    <row r="537" spans="1:12">
      <c r="A537" t="s">
        <v>584</v>
      </c>
      <c r="B537" t="s">
        <v>87</v>
      </c>
      <c r="C537" t="s">
        <v>24</v>
      </c>
      <c r="D537" t="s">
        <v>34</v>
      </c>
      <c r="E537">
        <v>27</v>
      </c>
      <c r="F537">
        <v>30</v>
      </c>
      <c r="G537">
        <v>6.1</v>
      </c>
      <c r="H537">
        <v>1.4</v>
      </c>
      <c r="I537">
        <v>0.4</v>
      </c>
      <c r="J537">
        <v>1.5</v>
      </c>
      <c r="K537" s="1">
        <v>2546675</v>
      </c>
      <c r="L537" t="s">
        <v>21</v>
      </c>
    </row>
    <row r="538" spans="1:12">
      <c r="A538" t="s">
        <v>585</v>
      </c>
      <c r="B538" t="s">
        <v>18</v>
      </c>
      <c r="C538" t="s">
        <v>14</v>
      </c>
      <c r="D538" t="s">
        <v>25</v>
      </c>
      <c r="E538">
        <v>26</v>
      </c>
      <c r="F538">
        <v>4</v>
      </c>
      <c r="G538">
        <v>3.8</v>
      </c>
      <c r="H538">
        <v>0</v>
      </c>
      <c r="I538">
        <v>0</v>
      </c>
      <c r="J538">
        <v>1.5</v>
      </c>
      <c r="K538" s="1">
        <v>241406</v>
      </c>
      <c r="L538" t="s">
        <v>21</v>
      </c>
    </row>
    <row r="539" spans="1:12">
      <c r="A539" t="s">
        <v>586</v>
      </c>
      <c r="B539" t="s">
        <v>20</v>
      </c>
      <c r="C539" t="s">
        <v>14</v>
      </c>
      <c r="D539" t="s">
        <v>25</v>
      </c>
      <c r="E539">
        <v>38</v>
      </c>
      <c r="F539">
        <v>27</v>
      </c>
      <c r="G539">
        <v>5.7</v>
      </c>
      <c r="H539">
        <v>0.7</v>
      </c>
      <c r="I539">
        <v>1.3</v>
      </c>
      <c r="J539">
        <v>1.5</v>
      </c>
      <c r="K539" s="1">
        <v>3634153</v>
      </c>
      <c r="L539" t="s">
        <v>16</v>
      </c>
    </row>
    <row r="540" spans="1:12">
      <c r="A540" t="s">
        <v>587</v>
      </c>
      <c r="B540" t="s">
        <v>70</v>
      </c>
      <c r="C540" t="s">
        <v>24</v>
      </c>
      <c r="D540" t="s">
        <v>25</v>
      </c>
      <c r="E540">
        <v>24</v>
      </c>
      <c r="F540">
        <v>40</v>
      </c>
      <c r="G540">
        <v>6.2</v>
      </c>
      <c r="H540">
        <v>1.7</v>
      </c>
      <c r="I540">
        <v>0.6</v>
      </c>
      <c r="J540">
        <v>1.5</v>
      </c>
      <c r="K540" s="1">
        <v>1955377</v>
      </c>
      <c r="L540" t="s">
        <v>21</v>
      </c>
    </row>
    <row r="541" spans="1:12">
      <c r="A541" t="s">
        <v>588</v>
      </c>
      <c r="B541" t="s">
        <v>36</v>
      </c>
      <c r="C541" t="s">
        <v>24</v>
      </c>
      <c r="D541" t="s">
        <v>25</v>
      </c>
      <c r="E541">
        <v>33</v>
      </c>
      <c r="F541">
        <v>34</v>
      </c>
      <c r="G541">
        <v>4.4000000000000004</v>
      </c>
      <c r="H541">
        <v>0.9</v>
      </c>
      <c r="I541">
        <v>0.4</v>
      </c>
      <c r="J541">
        <v>1.4</v>
      </c>
      <c r="K541" s="1">
        <v>2874436</v>
      </c>
      <c r="L541" t="s">
        <v>16</v>
      </c>
    </row>
    <row r="542" spans="1:12">
      <c r="A542" t="s">
        <v>589</v>
      </c>
      <c r="B542" t="s">
        <v>23</v>
      </c>
      <c r="C542" t="s">
        <v>24</v>
      </c>
      <c r="D542" t="s">
        <v>25</v>
      </c>
      <c r="E542">
        <v>24</v>
      </c>
      <c r="F542">
        <v>22</v>
      </c>
      <c r="G542">
        <v>6.6</v>
      </c>
      <c r="H542">
        <v>1.8</v>
      </c>
      <c r="I542">
        <v>0.5</v>
      </c>
      <c r="J542">
        <v>1.4</v>
      </c>
      <c r="K542" s="1">
        <v>490128</v>
      </c>
      <c r="L542" t="s">
        <v>16</v>
      </c>
    </row>
    <row r="543" spans="1:12">
      <c r="A543" t="s">
        <v>590</v>
      </c>
      <c r="B543" t="s">
        <v>65</v>
      </c>
      <c r="C543" t="s">
        <v>24</v>
      </c>
      <c r="D543" t="s">
        <v>34</v>
      </c>
      <c r="E543">
        <v>25</v>
      </c>
      <c r="F543">
        <v>4</v>
      </c>
      <c r="G543">
        <v>5.3</v>
      </c>
      <c r="H543">
        <v>2</v>
      </c>
      <c r="I543">
        <v>0.3</v>
      </c>
      <c r="J543">
        <v>1.3</v>
      </c>
      <c r="K543" s="1">
        <v>85300</v>
      </c>
      <c r="L543" t="s">
        <v>21</v>
      </c>
    </row>
    <row r="544" spans="1:12">
      <c r="A544" t="s">
        <v>591</v>
      </c>
      <c r="B544" t="s">
        <v>43</v>
      </c>
      <c r="C544" t="s">
        <v>14</v>
      </c>
      <c r="D544" t="s">
        <v>25</v>
      </c>
      <c r="E544">
        <v>31</v>
      </c>
      <c r="F544">
        <v>27</v>
      </c>
      <c r="G544">
        <v>7.2</v>
      </c>
      <c r="H544">
        <v>1.2</v>
      </c>
      <c r="I544">
        <v>0.3</v>
      </c>
      <c r="J544">
        <v>1.3</v>
      </c>
      <c r="K544" s="1">
        <v>2048494</v>
      </c>
      <c r="L544" t="s">
        <v>21</v>
      </c>
    </row>
    <row r="545" spans="1:12">
      <c r="A545" t="s">
        <v>592</v>
      </c>
      <c r="B545" t="s">
        <v>45</v>
      </c>
      <c r="C545" t="s">
        <v>24</v>
      </c>
      <c r="D545" t="s">
        <v>25</v>
      </c>
      <c r="E545">
        <v>24</v>
      </c>
      <c r="F545">
        <v>7</v>
      </c>
      <c r="G545">
        <v>5.6</v>
      </c>
      <c r="H545">
        <v>1</v>
      </c>
      <c r="I545">
        <v>0.6</v>
      </c>
      <c r="J545">
        <v>1.3</v>
      </c>
      <c r="K545" s="1">
        <v>3056867</v>
      </c>
      <c r="L545" t="s">
        <v>21</v>
      </c>
    </row>
    <row r="546" spans="1:12">
      <c r="A546" t="s">
        <v>593</v>
      </c>
      <c r="B546" t="s">
        <v>29</v>
      </c>
      <c r="C546" t="s">
        <v>14</v>
      </c>
      <c r="D546" t="s">
        <v>15</v>
      </c>
      <c r="E546">
        <v>24</v>
      </c>
      <c r="F546">
        <v>16</v>
      </c>
      <c r="G546">
        <v>5.5</v>
      </c>
      <c r="H546">
        <v>0.4</v>
      </c>
      <c r="I546">
        <v>1.1000000000000001</v>
      </c>
      <c r="J546">
        <v>1.3</v>
      </c>
      <c r="K546" s="1">
        <v>636435</v>
      </c>
      <c r="L546" t="s">
        <v>21</v>
      </c>
    </row>
    <row r="547" spans="1:12">
      <c r="A547" t="s">
        <v>594</v>
      </c>
      <c r="B547" t="s">
        <v>52</v>
      </c>
      <c r="C547" t="s">
        <v>14</v>
      </c>
      <c r="D547" t="s">
        <v>15</v>
      </c>
      <c r="E547">
        <v>26</v>
      </c>
      <c r="F547">
        <v>19</v>
      </c>
      <c r="G547">
        <v>4.9000000000000004</v>
      </c>
      <c r="H547">
        <v>1</v>
      </c>
      <c r="I547">
        <v>0.4</v>
      </c>
      <c r="J547">
        <v>1.2</v>
      </c>
      <c r="K547" s="1">
        <v>636435</v>
      </c>
      <c r="L547" t="s">
        <v>21</v>
      </c>
    </row>
    <row r="548" spans="1:12">
      <c r="A548" t="s">
        <v>595</v>
      </c>
      <c r="B548" t="s">
        <v>27</v>
      </c>
      <c r="C548" t="s">
        <v>24</v>
      </c>
      <c r="D548" t="s">
        <v>15</v>
      </c>
      <c r="E548">
        <v>39</v>
      </c>
      <c r="F548">
        <v>14</v>
      </c>
      <c r="G548">
        <v>8.4</v>
      </c>
      <c r="H548">
        <v>0.6</v>
      </c>
      <c r="I548">
        <v>0.8</v>
      </c>
      <c r="J548">
        <v>1.2</v>
      </c>
      <c r="K548" s="1">
        <v>3634153</v>
      </c>
      <c r="L548" t="s">
        <v>21</v>
      </c>
    </row>
    <row r="549" spans="1:12">
      <c r="A549" t="s">
        <v>596</v>
      </c>
      <c r="B549" t="s">
        <v>45</v>
      </c>
      <c r="C549" t="s">
        <v>24</v>
      </c>
      <c r="D549" t="s">
        <v>34</v>
      </c>
      <c r="E549">
        <v>26</v>
      </c>
      <c r="F549">
        <v>13</v>
      </c>
      <c r="G549">
        <v>6.3</v>
      </c>
      <c r="H549">
        <v>1.4</v>
      </c>
      <c r="I549">
        <v>0.4</v>
      </c>
      <c r="J549">
        <v>1</v>
      </c>
      <c r="K549" s="1">
        <v>85300</v>
      </c>
      <c r="L549" t="s">
        <v>21</v>
      </c>
    </row>
    <row r="550" spans="1:12">
      <c r="A550" t="s">
        <v>597</v>
      </c>
      <c r="B550" t="s">
        <v>68</v>
      </c>
      <c r="C550" t="s">
        <v>24</v>
      </c>
      <c r="D550" t="s">
        <v>15</v>
      </c>
      <c r="E550">
        <v>22</v>
      </c>
      <c r="F550">
        <v>8</v>
      </c>
      <c r="G550">
        <v>1.9</v>
      </c>
      <c r="H550">
        <v>0.3</v>
      </c>
      <c r="I550">
        <v>0</v>
      </c>
      <c r="J550">
        <v>1</v>
      </c>
      <c r="K550" s="1">
        <v>197514</v>
      </c>
      <c r="L550" t="s">
        <v>21</v>
      </c>
    </row>
    <row r="551" spans="1:12">
      <c r="A551" t="s">
        <v>598</v>
      </c>
      <c r="B551" t="s">
        <v>27</v>
      </c>
      <c r="C551" t="s">
        <v>24</v>
      </c>
      <c r="D551" t="s">
        <v>15</v>
      </c>
      <c r="E551">
        <v>22</v>
      </c>
      <c r="F551">
        <v>7</v>
      </c>
      <c r="G551">
        <v>3.7</v>
      </c>
      <c r="H551">
        <v>0.1</v>
      </c>
      <c r="I551">
        <v>0.6</v>
      </c>
      <c r="J551">
        <v>1</v>
      </c>
      <c r="K551" s="1">
        <v>85300</v>
      </c>
      <c r="L551" t="s">
        <v>21</v>
      </c>
    </row>
    <row r="552" spans="1:12">
      <c r="A552" t="s">
        <v>599</v>
      </c>
      <c r="B552" t="s">
        <v>100</v>
      </c>
      <c r="C552" t="s">
        <v>14</v>
      </c>
      <c r="D552" t="s">
        <v>34</v>
      </c>
      <c r="E552">
        <v>31</v>
      </c>
      <c r="F552">
        <v>5</v>
      </c>
      <c r="G552">
        <v>8.1999999999999993</v>
      </c>
      <c r="H552">
        <v>1.2</v>
      </c>
      <c r="I552">
        <v>0.4</v>
      </c>
      <c r="J552">
        <v>1</v>
      </c>
      <c r="K552" s="1">
        <v>5426400</v>
      </c>
      <c r="L552" t="s">
        <v>16</v>
      </c>
    </row>
    <row r="553" spans="1:12">
      <c r="A553" t="s">
        <v>600</v>
      </c>
      <c r="B553" t="s">
        <v>50</v>
      </c>
      <c r="C553" t="s">
        <v>14</v>
      </c>
      <c r="D553" t="s">
        <v>15</v>
      </c>
      <c r="E553">
        <v>26</v>
      </c>
      <c r="F553">
        <v>2</v>
      </c>
      <c r="G553">
        <v>3.5</v>
      </c>
      <c r="H553">
        <v>0</v>
      </c>
      <c r="I553">
        <v>0.5</v>
      </c>
      <c r="J553">
        <v>1</v>
      </c>
      <c r="K553" s="1">
        <v>234091</v>
      </c>
      <c r="L553" t="s">
        <v>21</v>
      </c>
    </row>
    <row r="554" spans="1:12">
      <c r="A554" t="s">
        <v>601</v>
      </c>
      <c r="B554" t="s">
        <v>50</v>
      </c>
      <c r="C554" t="s">
        <v>14</v>
      </c>
      <c r="D554" t="s">
        <v>34</v>
      </c>
      <c r="E554">
        <v>33</v>
      </c>
      <c r="F554">
        <v>25</v>
      </c>
      <c r="G554">
        <v>5.6</v>
      </c>
      <c r="H554">
        <v>1</v>
      </c>
      <c r="I554">
        <v>0.2</v>
      </c>
      <c r="J554">
        <v>0.9</v>
      </c>
      <c r="K554" s="1">
        <v>3634153</v>
      </c>
      <c r="L554" t="s">
        <v>16</v>
      </c>
    </row>
    <row r="555" spans="1:12">
      <c r="A555" t="s">
        <v>602</v>
      </c>
      <c r="B555" t="s">
        <v>27</v>
      </c>
      <c r="C555" t="s">
        <v>24</v>
      </c>
      <c r="D555" t="s">
        <v>34</v>
      </c>
      <c r="E555">
        <v>23</v>
      </c>
      <c r="F555">
        <v>11</v>
      </c>
      <c r="G555">
        <v>5</v>
      </c>
      <c r="H555">
        <v>1.5</v>
      </c>
      <c r="I555">
        <v>0.4</v>
      </c>
      <c r="J555">
        <v>0.9</v>
      </c>
      <c r="K555" s="1">
        <v>1272870</v>
      </c>
      <c r="L555" t="s">
        <v>21</v>
      </c>
    </row>
    <row r="556" spans="1:12">
      <c r="A556" t="s">
        <v>603</v>
      </c>
      <c r="B556" t="s">
        <v>63</v>
      </c>
      <c r="C556" t="s">
        <v>24</v>
      </c>
      <c r="D556" t="s">
        <v>34</v>
      </c>
      <c r="E556">
        <v>24</v>
      </c>
      <c r="F556">
        <v>4</v>
      </c>
      <c r="G556">
        <v>3.8</v>
      </c>
      <c r="H556">
        <v>1.8</v>
      </c>
      <c r="I556">
        <v>0</v>
      </c>
      <c r="J556">
        <v>0.8</v>
      </c>
      <c r="K556" s="1">
        <v>2048494</v>
      </c>
      <c r="L556" t="s">
        <v>16</v>
      </c>
    </row>
    <row r="557" spans="1:12">
      <c r="A557" t="s">
        <v>604</v>
      </c>
      <c r="B557" t="s">
        <v>70</v>
      </c>
      <c r="C557" t="s">
        <v>24</v>
      </c>
      <c r="D557" t="s">
        <v>15</v>
      </c>
      <c r="E557">
        <v>27</v>
      </c>
      <c r="F557">
        <v>5</v>
      </c>
      <c r="G557">
        <v>7.2</v>
      </c>
      <c r="H557">
        <v>0.2</v>
      </c>
      <c r="I557">
        <v>1.6</v>
      </c>
      <c r="J557">
        <v>0.8</v>
      </c>
      <c r="K557" s="1">
        <v>188932</v>
      </c>
      <c r="L557" t="s">
        <v>21</v>
      </c>
    </row>
    <row r="558" spans="1:12">
      <c r="A558" t="s">
        <v>605</v>
      </c>
      <c r="B558" t="s">
        <v>68</v>
      </c>
      <c r="C558" t="s">
        <v>24</v>
      </c>
      <c r="D558" t="s">
        <v>34</v>
      </c>
      <c r="E558">
        <v>24</v>
      </c>
      <c r="F558">
        <v>9</v>
      </c>
      <c r="G558">
        <v>2.7</v>
      </c>
      <c r="H558">
        <v>1</v>
      </c>
      <c r="I558">
        <v>0.3</v>
      </c>
      <c r="J558">
        <v>0.8</v>
      </c>
      <c r="K558" s="1">
        <v>85300</v>
      </c>
      <c r="L558" t="s">
        <v>16</v>
      </c>
    </row>
    <row r="559" spans="1:12">
      <c r="A559" t="s">
        <v>606</v>
      </c>
      <c r="B559" t="s">
        <v>13</v>
      </c>
      <c r="C559" t="s">
        <v>14</v>
      </c>
      <c r="D559" t="s">
        <v>15</v>
      </c>
      <c r="E559">
        <v>24</v>
      </c>
      <c r="F559">
        <v>9</v>
      </c>
      <c r="G559">
        <v>5.0999999999999996</v>
      </c>
      <c r="H559">
        <v>1.1000000000000001</v>
      </c>
      <c r="I559">
        <v>0.3</v>
      </c>
      <c r="J559">
        <v>0.8</v>
      </c>
      <c r="K559" s="1">
        <v>636435</v>
      </c>
      <c r="L559" t="s">
        <v>21</v>
      </c>
    </row>
    <row r="560" spans="1:12">
      <c r="A560" t="s">
        <v>607</v>
      </c>
      <c r="B560" t="s">
        <v>87</v>
      </c>
      <c r="C560" t="s">
        <v>24</v>
      </c>
      <c r="D560" t="s">
        <v>25</v>
      </c>
      <c r="E560">
        <v>26</v>
      </c>
      <c r="F560">
        <v>6</v>
      </c>
      <c r="G560">
        <v>10.7</v>
      </c>
      <c r="H560">
        <v>1.5</v>
      </c>
      <c r="I560">
        <v>0.3</v>
      </c>
      <c r="J560">
        <v>0.8</v>
      </c>
      <c r="K560" s="1">
        <v>85300</v>
      </c>
      <c r="L560" t="s">
        <v>21</v>
      </c>
    </row>
    <row r="561" spans="1:12">
      <c r="A561" t="s">
        <v>608</v>
      </c>
      <c r="B561" t="s">
        <v>70</v>
      </c>
      <c r="C561" t="s">
        <v>24</v>
      </c>
      <c r="D561" t="s">
        <v>15</v>
      </c>
      <c r="E561">
        <v>39</v>
      </c>
      <c r="F561">
        <v>22</v>
      </c>
      <c r="G561">
        <v>3.3</v>
      </c>
      <c r="H561">
        <v>0.4</v>
      </c>
      <c r="I561">
        <v>0.4</v>
      </c>
      <c r="J561">
        <v>0.8</v>
      </c>
      <c r="K561" s="1">
        <v>3634153</v>
      </c>
      <c r="L561" t="s">
        <v>21</v>
      </c>
    </row>
    <row r="562" spans="1:12">
      <c r="A562" t="s">
        <v>609</v>
      </c>
      <c r="B562" t="s">
        <v>23</v>
      </c>
      <c r="C562" t="s">
        <v>24</v>
      </c>
      <c r="D562" t="s">
        <v>15</v>
      </c>
      <c r="E562">
        <v>23</v>
      </c>
      <c r="F562">
        <v>11</v>
      </c>
      <c r="G562">
        <v>3.3</v>
      </c>
      <c r="H562">
        <v>0.5</v>
      </c>
      <c r="I562">
        <v>0.2</v>
      </c>
      <c r="J562">
        <v>0.6</v>
      </c>
      <c r="K562" s="1">
        <v>212145</v>
      </c>
      <c r="L562" t="s">
        <v>16</v>
      </c>
    </row>
    <row r="563" spans="1:12">
      <c r="A563" t="s">
        <v>610</v>
      </c>
      <c r="B563" t="s">
        <v>29</v>
      </c>
      <c r="C563" t="s">
        <v>14</v>
      </c>
      <c r="D563" t="s">
        <v>25</v>
      </c>
      <c r="E563">
        <v>24</v>
      </c>
      <c r="F563">
        <v>8</v>
      </c>
      <c r="G563">
        <v>4</v>
      </c>
      <c r="H563">
        <v>0.4</v>
      </c>
      <c r="I563">
        <v>0.1</v>
      </c>
      <c r="J563">
        <v>0.1</v>
      </c>
      <c r="K563" s="1">
        <v>85300</v>
      </c>
      <c r="L563" t="s">
        <v>16</v>
      </c>
    </row>
    <row r="564" spans="1:12">
      <c r="A564" t="s">
        <v>611</v>
      </c>
      <c r="B564" t="s">
        <v>31</v>
      </c>
      <c r="C564" t="s">
        <v>24</v>
      </c>
      <c r="D564" t="s">
        <v>15</v>
      </c>
      <c r="E564">
        <v>26</v>
      </c>
      <c r="F564">
        <v>1</v>
      </c>
      <c r="G564">
        <v>3</v>
      </c>
      <c r="H564">
        <v>1</v>
      </c>
      <c r="I564">
        <v>0</v>
      </c>
      <c r="J564">
        <v>0</v>
      </c>
      <c r="K564" s="1">
        <v>190199</v>
      </c>
      <c r="L564" t="s">
        <v>21</v>
      </c>
    </row>
    <row r="565" spans="1:12">
      <c r="A565" t="s">
        <v>612</v>
      </c>
      <c r="B565" t="s">
        <v>122</v>
      </c>
      <c r="C565" t="s">
        <v>24</v>
      </c>
      <c r="D565" t="s">
        <v>25</v>
      </c>
      <c r="E565">
        <v>19</v>
      </c>
      <c r="F565">
        <v>2</v>
      </c>
      <c r="G565">
        <v>3</v>
      </c>
      <c r="H565">
        <v>0</v>
      </c>
      <c r="I565">
        <v>0</v>
      </c>
      <c r="J565">
        <v>0</v>
      </c>
      <c r="K565" s="1">
        <v>5429520</v>
      </c>
      <c r="L565" t="s">
        <v>16</v>
      </c>
    </row>
    <row r="566" spans="1:12">
      <c r="A566" t="s">
        <v>613</v>
      </c>
      <c r="B566" t="s">
        <v>45</v>
      </c>
      <c r="C566" t="s">
        <v>24</v>
      </c>
      <c r="D566" t="s">
        <v>25</v>
      </c>
      <c r="E566">
        <v>24</v>
      </c>
      <c r="F566">
        <v>5</v>
      </c>
      <c r="G566">
        <v>1.6</v>
      </c>
      <c r="H566">
        <v>0.4</v>
      </c>
      <c r="I566">
        <v>0</v>
      </c>
      <c r="J566">
        <v>0</v>
      </c>
      <c r="K566" s="1">
        <v>537677</v>
      </c>
      <c r="L566" t="s">
        <v>16</v>
      </c>
    </row>
    <row r="567" spans="1:12">
      <c r="A567" t="s">
        <v>614</v>
      </c>
      <c r="B567" t="s">
        <v>70</v>
      </c>
      <c r="C567" t="s">
        <v>24</v>
      </c>
      <c r="D567" t="s">
        <v>15</v>
      </c>
      <c r="E567">
        <v>22</v>
      </c>
      <c r="F567">
        <v>2</v>
      </c>
      <c r="G567">
        <v>6.5</v>
      </c>
      <c r="H567">
        <v>0.5</v>
      </c>
      <c r="I567">
        <v>1</v>
      </c>
      <c r="J567">
        <v>0</v>
      </c>
      <c r="K567" s="1">
        <v>85300</v>
      </c>
      <c r="L567"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B0FFDE-279B-46E3-916E-086F7A3E449D}">
  <dimension ref="J3:K141"/>
  <sheetViews>
    <sheetView topLeftCell="C22" workbookViewId="0">
      <selection activeCell="H41" sqref="H41"/>
    </sheetView>
  </sheetViews>
  <sheetFormatPr defaultRowHeight="14.45"/>
  <cols>
    <col min="1" max="1" width="19" bestFit="1" customWidth="1"/>
    <col min="2" max="2" width="18.42578125" bestFit="1" customWidth="1"/>
    <col min="3" max="3" width="25.140625" bestFit="1" customWidth="1"/>
    <col min="10" max="10" width="30.7109375" customWidth="1"/>
    <col min="11" max="11" width="13.85546875" bestFit="1" customWidth="1"/>
    <col min="13" max="13" width="19.7109375" bestFit="1" customWidth="1"/>
    <col min="14" max="14" width="9.5703125" bestFit="1" customWidth="1"/>
  </cols>
  <sheetData>
    <row r="3" spans="10:11">
      <c r="J3" t="s">
        <v>615</v>
      </c>
    </row>
    <row r="4" spans="10:11">
      <c r="J4" t="s">
        <v>616</v>
      </c>
      <c r="K4" s="6">
        <f>AVERAGE(nba_contracts_performance_final!E2:E567)</f>
        <v>25.931095406360424</v>
      </c>
    </row>
    <row r="5" spans="10:11">
      <c r="J5" t="s">
        <v>617</v>
      </c>
      <c r="K5">
        <f>MEDIAN(nba_contracts_performance_final!E2:E567)</f>
        <v>25</v>
      </c>
    </row>
    <row r="6" spans="10:11">
      <c r="J6" t="s">
        <v>618</v>
      </c>
      <c r="K6">
        <f>_xlfn.STDEV.P(nba_contracts_performance_final!E2:E567)</f>
        <v>4.2364547651029332</v>
      </c>
    </row>
    <row r="7" spans="10:11">
      <c r="J7" t="s">
        <v>619</v>
      </c>
      <c r="K7">
        <f>SKEW(nba_contracts_performance_final!E2:E567)</f>
        <v>0.92842566718990782</v>
      </c>
    </row>
    <row r="8" spans="10:11">
      <c r="J8" t="s">
        <v>620</v>
      </c>
      <c r="K8">
        <f>KURT(nba_contracts_performance_final!E2:E567)</f>
        <v>0.78619554000656278</v>
      </c>
    </row>
    <row r="10" spans="10:11">
      <c r="J10" t="s">
        <v>621</v>
      </c>
    </row>
    <row r="25" spans="10:11">
      <c r="J25" t="s">
        <v>622</v>
      </c>
    </row>
    <row r="26" spans="10:11">
      <c r="J26" t="s">
        <v>616</v>
      </c>
      <c r="K26">
        <f>AVERAGE(nba_contracts_performance_final!F2:F567)</f>
        <v>46.392226148409897</v>
      </c>
    </row>
    <row r="27" spans="10:11">
      <c r="J27" t="s">
        <v>617</v>
      </c>
      <c r="K27">
        <f>MEDIAN(nba_contracts_performance_final!F2:F567)</f>
        <v>53</v>
      </c>
    </row>
    <row r="28" spans="10:11">
      <c r="J28" t="s">
        <v>618</v>
      </c>
      <c r="K28">
        <f>_xlfn.STDEV.P(nba_contracts_performance_final!F2:F567)</f>
        <v>24.837881624556875</v>
      </c>
    </row>
    <row r="29" spans="10:11">
      <c r="J29" t="s">
        <v>619</v>
      </c>
      <c r="K29">
        <f>SKEW(nba_contracts_performance_final!F2:F567)</f>
        <v>-0.40936686401573907</v>
      </c>
    </row>
    <row r="30" spans="10:11">
      <c r="J30" t="s">
        <v>620</v>
      </c>
      <c r="K30">
        <f>KURT(nba_contracts_performance_final!F2:F567)</f>
        <v>-1.1602365135750261</v>
      </c>
    </row>
    <row r="33" spans="10:11">
      <c r="J33" t="s">
        <v>623</v>
      </c>
    </row>
    <row r="44" spans="10:11">
      <c r="J44" t="s">
        <v>624</v>
      </c>
    </row>
    <row r="45" spans="10:11">
      <c r="J45" t="s">
        <v>616</v>
      </c>
      <c r="K45">
        <f>AVERAGE(nba_contracts_performance_final!G2:G567)</f>
        <v>19.839929328621899</v>
      </c>
    </row>
    <row r="46" spans="10:11">
      <c r="J46" t="s">
        <v>617</v>
      </c>
      <c r="K46">
        <f>MEDIAN(nba_contracts_performance_final!G2:G567)</f>
        <v>20.399999999999999</v>
      </c>
    </row>
    <row r="47" spans="10:11">
      <c r="J47" t="s">
        <v>618</v>
      </c>
      <c r="K47">
        <f>_xlfn.STDEV.P(nba_contracts_performance_final!G2:G567)</f>
        <v>8.931719550527859</v>
      </c>
    </row>
    <row r="48" spans="10:11">
      <c r="J48" t="s">
        <v>619</v>
      </c>
      <c r="K48">
        <f>SKEW(nba_contracts_performance_final!G2:G567)</f>
        <v>-9.7438713623843876E-2</v>
      </c>
    </row>
    <row r="49" spans="10:11">
      <c r="J49" t="s">
        <v>620</v>
      </c>
      <c r="K49">
        <f>KURT(nba_contracts_performance_final!G2:G567)</f>
        <v>-1.0467940306390877</v>
      </c>
    </row>
    <row r="51" spans="10:11">
      <c r="J51" t="s">
        <v>625</v>
      </c>
    </row>
    <row r="64" spans="10:11">
      <c r="J64" t="s">
        <v>626</v>
      </c>
    </row>
    <row r="65" spans="10:11">
      <c r="J65" t="s">
        <v>616</v>
      </c>
      <c r="K65">
        <f>AVERAGE(nba_contracts_performance_final!H2:H567)</f>
        <v>3.6174911660777358</v>
      </c>
    </row>
    <row r="66" spans="10:11">
      <c r="J66" t="s">
        <v>617</v>
      </c>
      <c r="K66">
        <f>MEDIAN(nba_contracts_performance_final!H2:H567)</f>
        <v>3.1500000000000004</v>
      </c>
    </row>
    <row r="67" spans="10:11">
      <c r="J67" t="s">
        <v>618</v>
      </c>
      <c r="K67">
        <f>_xlfn.STDEV.P(nba_contracts_performance_final!H2:H567)</f>
        <v>2.3583086850881583</v>
      </c>
    </row>
    <row r="68" spans="10:11">
      <c r="J68" t="s">
        <v>619</v>
      </c>
      <c r="K68">
        <f>SKEW(nba_contracts_performance_final!H2:H567)</f>
        <v>1.1395505598526761</v>
      </c>
    </row>
    <row r="69" spans="10:11">
      <c r="J69" t="s">
        <v>620</v>
      </c>
      <c r="K69">
        <f>KURT(nba_contracts_performance_final!H2:H567)</f>
        <v>1.3896846290312914</v>
      </c>
    </row>
    <row r="71" spans="10:11">
      <c r="J71" t="s">
        <v>627</v>
      </c>
    </row>
    <row r="87" spans="10:11">
      <c r="J87" t="s">
        <v>628</v>
      </c>
    </row>
    <row r="88" spans="10:11">
      <c r="J88" t="s">
        <v>616</v>
      </c>
      <c r="K88">
        <f>AVERAGE(nba_contracts_performance_final!I2:I567)</f>
        <v>2.1628975265017658</v>
      </c>
    </row>
    <row r="89" spans="10:11">
      <c r="J89" t="s">
        <v>617</v>
      </c>
      <c r="K89">
        <f>MEDIAN(nba_contracts_performance_final!I2:I567)</f>
        <v>1.6</v>
      </c>
    </row>
    <row r="90" spans="10:11">
      <c r="J90" t="s">
        <v>618</v>
      </c>
      <c r="K90">
        <f>_xlfn.STDEV.P(nba_contracts_performance_final!I2:I567)</f>
        <v>1.7968960516943104</v>
      </c>
    </row>
    <row r="91" spans="10:11">
      <c r="J91" t="s">
        <v>619</v>
      </c>
      <c r="K91">
        <f>SKEW(nba_contracts_performance_final!I2:I567)</f>
        <v>1.5161335536399345</v>
      </c>
    </row>
    <row r="92" spans="10:11">
      <c r="J92" t="s">
        <v>620</v>
      </c>
      <c r="K92">
        <f>KURT(nba_contracts_performance_final!I2:I567)</f>
        <v>2.4672944062165709</v>
      </c>
    </row>
    <row r="94" spans="10:11">
      <c r="J94" t="s">
        <v>629</v>
      </c>
    </row>
    <row r="109" spans="10:11">
      <c r="J109" t="s">
        <v>630</v>
      </c>
    </row>
    <row r="110" spans="10:11">
      <c r="J110" t="s">
        <v>616</v>
      </c>
      <c r="K110">
        <f>AVERAGE(nba_contracts_performance_final!J2:J567)</f>
        <v>9.2731448763250768</v>
      </c>
    </row>
    <row r="111" spans="10:11">
      <c r="J111" t="s">
        <v>617</v>
      </c>
      <c r="K111">
        <f>MEDIAN(nba_contracts_performance_final!J2:J567)</f>
        <v>8</v>
      </c>
    </row>
    <row r="112" spans="10:11">
      <c r="J112" t="s">
        <v>618</v>
      </c>
      <c r="K112">
        <f>_xlfn.STDEV.P(nba_contracts_performance_final!J2:J567)</f>
        <v>6.4070262615439235</v>
      </c>
    </row>
    <row r="113" spans="10:11">
      <c r="J113" t="s">
        <v>619</v>
      </c>
      <c r="K113">
        <f>SKEW(nba_contracts_performance_final!J2:J567)</f>
        <v>0.9918702828130932</v>
      </c>
    </row>
    <row r="114" spans="10:11">
      <c r="J114" t="s">
        <v>620</v>
      </c>
      <c r="K114">
        <f>KURT(nba_contracts_performance_final!J2:J567)</f>
        <v>0.65463196978553206</v>
      </c>
    </row>
    <row r="116" spans="10:11">
      <c r="J116" t="s">
        <v>631</v>
      </c>
    </row>
    <row r="134" spans="10:11">
      <c r="J134" t="s">
        <v>632</v>
      </c>
    </row>
    <row r="135" spans="10:11">
      <c r="J135" t="s">
        <v>616</v>
      </c>
      <c r="K135" s="7">
        <f>AVERAGE(nba_contracts_performance_final!K2:K567)</f>
        <v>9326169.577738516</v>
      </c>
    </row>
    <row r="136" spans="10:11">
      <c r="J136" t="s">
        <v>617</v>
      </c>
      <c r="K136" s="7">
        <f>MEDIAN(nba_contracts_performance_final!K2:K567)</f>
        <v>3634153</v>
      </c>
    </row>
    <row r="137" spans="10:11">
      <c r="J137" t="s">
        <v>618</v>
      </c>
      <c r="K137">
        <f>_xlfn.STDEV.P(nba_contracts_performance_final!K2:K567)</f>
        <v>12808229.936200997</v>
      </c>
    </row>
    <row r="138" spans="10:11">
      <c r="J138" t="s">
        <v>619</v>
      </c>
      <c r="K138">
        <f>SKEW(nba_contracts_performance_final!K2:K567)</f>
        <v>1.9545906936173145</v>
      </c>
    </row>
    <row r="139" spans="10:11">
      <c r="J139" t="s">
        <v>620</v>
      </c>
      <c r="K139">
        <f>KURT(nba_contracts_performance_final!K2:K567)</f>
        <v>3.2106232023752077</v>
      </c>
    </row>
    <row r="141" spans="10:11">
      <c r="J141" t="s">
        <v>633</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77822-D841-4C24-82AE-A8A381939894}">
  <dimension ref="A1:C28"/>
  <sheetViews>
    <sheetView topLeftCell="A7" workbookViewId="0">
      <selection activeCell="M21" sqref="M21"/>
    </sheetView>
  </sheetViews>
  <sheetFormatPr defaultRowHeight="14.45"/>
  <cols>
    <col min="1" max="1" width="23.28515625" bestFit="1" customWidth="1"/>
    <col min="2" max="2" width="14.85546875" bestFit="1" customWidth="1"/>
  </cols>
  <sheetData>
    <row r="1" spans="1:2">
      <c r="A1" t="s">
        <v>634</v>
      </c>
    </row>
    <row r="4" spans="1:2">
      <c r="A4" s="8" t="s">
        <v>635</v>
      </c>
    </row>
    <row r="5" spans="1:2">
      <c r="A5" t="s">
        <v>636</v>
      </c>
    </row>
    <row r="6" spans="1:2">
      <c r="A6" t="s">
        <v>637</v>
      </c>
    </row>
    <row r="8" spans="1:2">
      <c r="A8" t="s">
        <v>638</v>
      </c>
      <c r="B8" s="9">
        <f>COUNTIF(nba_contracts_performance_final!K2:K567,"&gt;10000000")/COUNT(nba_contracts_performance_final!K2:K567)</f>
        <v>0.28445229681978801</v>
      </c>
    </row>
    <row r="10" spans="1:2">
      <c r="A10" t="s">
        <v>639</v>
      </c>
    </row>
    <row r="13" spans="1:2">
      <c r="A13" t="s">
        <v>640</v>
      </c>
    </row>
    <row r="14" spans="1:2">
      <c r="A14" t="s">
        <v>641</v>
      </c>
    </row>
    <row r="16" spans="1:2">
      <c r="A16" t="s">
        <v>642</v>
      </c>
      <c r="B16" s="10">
        <f>COUNTIF(nba_contracts_performance_final!K2:K567,"&lt;=5000000")/COUNT(nba_contracts_performance_final!K2:K567)</f>
        <v>0.57243816254416957</v>
      </c>
    </row>
    <row r="17" spans="1:3">
      <c r="A17" t="s">
        <v>643</v>
      </c>
      <c r="B17" s="10">
        <f>COUNTIF(nba_contracts_performance_final!K2:K567,"&lt;=1000000")/COUNT(nba_contracts_performance_final!K2:K567)</f>
        <v>0.25088339222614842</v>
      </c>
    </row>
    <row r="18" spans="1:3">
      <c r="A18" t="s">
        <v>644</v>
      </c>
      <c r="C18" s="11">
        <f>B16-B17</f>
        <v>0.32155477031802115</v>
      </c>
    </row>
    <row r="20" spans="1:3" ht="15" customHeight="1">
      <c r="A20" t="s">
        <v>645</v>
      </c>
    </row>
    <row r="23" spans="1:3">
      <c r="A23" t="s">
        <v>646</v>
      </c>
    </row>
    <row r="24" spans="1:3">
      <c r="A24" t="s">
        <v>647</v>
      </c>
    </row>
    <row r="26" spans="1:3">
      <c r="A26" t="s">
        <v>648</v>
      </c>
      <c r="B26" s="12">
        <f>PERCENTILE(nba_contracts_performance_final!K2:K567,0.9)</f>
        <v>28361607.5</v>
      </c>
    </row>
    <row r="28" spans="1:3">
      <c r="A28" t="s">
        <v>649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939E-5C0C-4DBA-ACAE-728E1261CE4C}">
  <dimension ref="A1:A4"/>
  <sheetViews>
    <sheetView tabSelected="1" workbookViewId="0">
      <selection activeCell="B3" sqref="B3"/>
    </sheetView>
  </sheetViews>
  <sheetFormatPr defaultRowHeight="14.45"/>
  <cols>
    <col min="1" max="1" width="43.28515625" customWidth="1"/>
  </cols>
  <sheetData>
    <row r="1" spans="1:1">
      <c r="A1" s="13" t="s">
        <v>650</v>
      </c>
    </row>
    <row r="2" spans="1:1">
      <c r="A2" s="14"/>
    </row>
    <row r="3" spans="1:1" ht="184.5" customHeight="1">
      <c r="A3" s="16" t="s">
        <v>651</v>
      </c>
    </row>
    <row r="4" spans="1:1" ht="245.25">
      <c r="A4" s="20" t="s">
        <v>652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0211A-0EED-4E49-86CA-33208FC9B9B4}">
  <dimension ref="A1:A12"/>
  <sheetViews>
    <sheetView workbookViewId="0">
      <selection activeCell="A14" sqref="A14"/>
    </sheetView>
  </sheetViews>
  <sheetFormatPr defaultRowHeight="14.45"/>
  <cols>
    <col min="1" max="1" width="59.85546875" customWidth="1"/>
  </cols>
  <sheetData>
    <row r="1" spans="1:1">
      <c r="A1" s="17" t="s">
        <v>653</v>
      </c>
    </row>
    <row r="2" spans="1:1">
      <c r="A2" t="s">
        <v>654</v>
      </c>
    </row>
    <row r="3" spans="1:1">
      <c r="A3" t="s">
        <v>655</v>
      </c>
    </row>
    <row r="4" spans="1:1" ht="15">
      <c r="A4" s="18" t="s">
        <v>656</v>
      </c>
    </row>
    <row r="6" spans="1:1">
      <c r="A6" t="s">
        <v>657</v>
      </c>
    </row>
    <row r="7" spans="1:1">
      <c r="A7" t="s">
        <v>658</v>
      </c>
    </row>
    <row r="8" spans="1:1">
      <c r="A8" s="14" t="s">
        <v>659</v>
      </c>
    </row>
    <row r="9" spans="1:1">
      <c r="A9" t="s">
        <v>660</v>
      </c>
    </row>
    <row r="10" spans="1:1">
      <c r="A10" s="19" t="s">
        <v>661</v>
      </c>
    </row>
    <row r="12" spans="1:1" ht="57.75">
      <c r="A12" s="15" t="s">
        <v>662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E7E7A-B0FF-44A4-9D5A-8BD3E929B439}">
  <dimension ref="A1:B17"/>
  <sheetViews>
    <sheetView workbookViewId="0">
      <selection activeCell="C33" sqref="C33"/>
    </sheetView>
  </sheetViews>
  <sheetFormatPr defaultColWidth="8.85546875" defaultRowHeight="14.45"/>
  <cols>
    <col min="1" max="1" width="17.85546875" style="2" customWidth="1"/>
    <col min="2" max="16384" width="8.85546875" style="2"/>
  </cols>
  <sheetData>
    <row r="1" spans="1:2">
      <c r="A1" s="4" t="s">
        <v>663</v>
      </c>
      <c r="B1" s="3" t="s">
        <v>664</v>
      </c>
    </row>
    <row r="2" spans="1:2">
      <c r="A2" s="4" t="s">
        <v>665</v>
      </c>
      <c r="B2" s="3" t="s">
        <v>664</v>
      </c>
    </row>
    <row r="3" spans="1:2">
      <c r="A3" s="4" t="s">
        <v>666</v>
      </c>
      <c r="B3" s="3" t="s">
        <v>667</v>
      </c>
    </row>
    <row r="4" spans="1:2">
      <c r="B4" s="3" t="s">
        <v>668</v>
      </c>
    </row>
    <row r="5" spans="1:2">
      <c r="B5" s="2" t="s">
        <v>669</v>
      </c>
    </row>
    <row r="6" spans="1:2">
      <c r="A6" s="4" t="s">
        <v>670</v>
      </c>
    </row>
    <row r="7" spans="1:2">
      <c r="A7" s="2" t="s">
        <v>671</v>
      </c>
      <c r="B7" t="s">
        <v>672</v>
      </c>
    </row>
    <row r="8" spans="1:2">
      <c r="A8" s="2" t="s">
        <v>673</v>
      </c>
      <c r="B8" s="2" t="s">
        <v>674</v>
      </c>
    </row>
    <row r="9" spans="1:2">
      <c r="A9" s="2" t="s">
        <v>675</v>
      </c>
      <c r="B9" s="2" t="s">
        <v>676</v>
      </c>
    </row>
    <row r="10" spans="1:2">
      <c r="A10" s="2" t="s">
        <v>677</v>
      </c>
      <c r="B10" s="2" t="s">
        <v>678</v>
      </c>
    </row>
    <row r="12" spans="1:2">
      <c r="A12" s="4" t="s">
        <v>679</v>
      </c>
    </row>
    <row r="13" spans="1:2">
      <c r="A13" s="2" t="s">
        <v>680</v>
      </c>
      <c r="B13" s="5" t="s">
        <v>681</v>
      </c>
    </row>
    <row r="14" spans="1:2">
      <c r="A14" s="2" t="s">
        <v>682</v>
      </c>
      <c r="B14" s="5" t="s">
        <v>683</v>
      </c>
    </row>
    <row r="15" spans="1:2">
      <c r="A15" s="2" t="s">
        <v>684</v>
      </c>
      <c r="B15" s="5" t="s">
        <v>685</v>
      </c>
    </row>
    <row r="17" spans="1:2">
      <c r="A17" s="4" t="s">
        <v>686</v>
      </c>
      <c r="B17" s="2" t="s">
        <v>687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2026-07-15T16:44:08Z</dcterms:created>
  <dcterms:modified xsi:type="dcterms:W3CDTF">2026-07-26T21:59:33Z</dcterms:modified>
  <cp:category/>
  <cp:contentStatus/>
</cp:coreProperties>
</file>