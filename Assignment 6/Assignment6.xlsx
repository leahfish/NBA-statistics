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deacnet-my.sharepoint.com/personal/fishl26_wfu_edu/Documents/"/>
    </mc:Choice>
  </mc:AlternateContent>
  <xr:revisionPtr revIDLastSave="0" documentId="8_{AA86C76C-F562-4A43-A05C-7B944681FCD1}" xr6:coauthVersionLast="47" xr6:coauthVersionMax="47" xr10:uidLastSave="{00000000-0000-0000-0000-000000000000}"/>
  <bookViews>
    <workbookView xWindow="-110" yWindow="-110" windowWidth="22780" windowHeight="14540" firstSheet="6" activeTab="6" xr2:uid="{297DAB1B-719D-4FEF-96A1-7558CA7A4941}"/>
  </bookViews>
  <sheets>
    <sheet name="Sheet1" sheetId="1" r:id="rId1"/>
    <sheet name="Model 1 - All Variables" sheetId="2" r:id="rId2"/>
    <sheet name="Model 2" sheetId="3" r:id="rId3"/>
    <sheet name="Model 3" sheetId="4" r:id="rId4"/>
    <sheet name="Model 4" sheetId="5" r:id="rId5"/>
    <sheet name="Model 5" sheetId="6" r:id="rId6"/>
    <sheet name="Final Model" sheetId="7" r:id="rId7"/>
    <sheet name="Multicollinearity" sheetId="8" r:id="rId8"/>
    <sheet name="Regression Commentar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6" i="1"/>
  <c r="F15" i="1"/>
  <c r="F17" i="1"/>
  <c r="F18" i="1"/>
  <c r="F20" i="1"/>
  <c r="F19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3" i="1"/>
  <c r="F35" i="1"/>
  <c r="F36" i="1"/>
  <c r="F37" i="1"/>
  <c r="F38" i="1"/>
  <c r="F39" i="1"/>
  <c r="F40" i="1"/>
  <c r="F41" i="1"/>
  <c r="F42" i="1"/>
  <c r="F43" i="1"/>
  <c r="F46" i="1"/>
  <c r="F45" i="1"/>
  <c r="F47" i="1"/>
  <c r="F44" i="1"/>
  <c r="F48" i="1"/>
  <c r="F49" i="1"/>
  <c r="F51" i="1"/>
  <c r="F50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9" i="1"/>
  <c r="F78" i="1"/>
  <c r="F81" i="1"/>
  <c r="F80" i="1"/>
  <c r="F83" i="1"/>
  <c r="F82" i="1"/>
  <c r="F84" i="1"/>
  <c r="F87" i="1"/>
  <c r="F85" i="1"/>
  <c r="F86" i="1"/>
  <c r="F88" i="1"/>
  <c r="F89" i="1"/>
  <c r="F90" i="1"/>
  <c r="F91" i="1"/>
  <c r="F92" i="1"/>
  <c r="F95" i="1"/>
  <c r="F94" i="1"/>
  <c r="F96" i="1"/>
  <c r="F93" i="1"/>
  <c r="F98" i="1"/>
  <c r="F97" i="1"/>
  <c r="F99" i="1"/>
  <c r="F100" i="1"/>
  <c r="F101" i="1"/>
  <c r="F102" i="1"/>
  <c r="F103" i="1"/>
  <c r="F105" i="1"/>
  <c r="F106" i="1"/>
  <c r="F104" i="1"/>
  <c r="F107" i="1"/>
  <c r="F108" i="1"/>
  <c r="F109" i="1"/>
  <c r="F110" i="1"/>
  <c r="F111" i="1"/>
  <c r="F112" i="1"/>
  <c r="F114" i="1"/>
  <c r="F113" i="1"/>
  <c r="F115" i="1"/>
  <c r="F117" i="1"/>
  <c r="F116" i="1"/>
  <c r="F118" i="1"/>
  <c r="F119" i="1"/>
  <c r="F120" i="1"/>
  <c r="F123" i="1"/>
  <c r="F122" i="1"/>
  <c r="F124" i="1"/>
  <c r="F121" i="1"/>
  <c r="F125" i="1"/>
  <c r="F126" i="1"/>
  <c r="F127" i="1"/>
  <c r="F130" i="1"/>
  <c r="F129" i="1"/>
  <c r="F131" i="1"/>
  <c r="F128" i="1"/>
  <c r="F133" i="1"/>
  <c r="F132" i="1"/>
  <c r="F136" i="1"/>
  <c r="F135" i="1"/>
  <c r="F134" i="1"/>
  <c r="F137" i="1"/>
  <c r="F138" i="1"/>
  <c r="F139" i="1"/>
  <c r="F140" i="1"/>
  <c r="F141" i="1"/>
  <c r="F142" i="1"/>
  <c r="F143" i="1"/>
  <c r="F145" i="1"/>
  <c r="F146" i="1"/>
  <c r="F144" i="1"/>
  <c r="F148" i="1"/>
  <c r="F147" i="1"/>
  <c r="F149" i="1"/>
  <c r="F150" i="1"/>
  <c r="F151" i="1"/>
  <c r="F152" i="1"/>
  <c r="F155" i="1"/>
  <c r="F153" i="1"/>
  <c r="F156" i="1"/>
  <c r="F154" i="1"/>
  <c r="F158" i="1"/>
  <c r="F157" i="1"/>
  <c r="F160" i="1"/>
  <c r="F159" i="1"/>
  <c r="F161" i="1"/>
  <c r="F162" i="1"/>
  <c r="F164" i="1"/>
  <c r="F165" i="1"/>
  <c r="F163" i="1"/>
  <c r="F167" i="1"/>
  <c r="F166" i="1"/>
  <c r="F168" i="1"/>
  <c r="F169" i="1"/>
  <c r="F174" i="1"/>
  <c r="F171" i="1"/>
  <c r="F173" i="1"/>
  <c r="F170" i="1"/>
  <c r="F172" i="1"/>
  <c r="F175" i="1"/>
  <c r="F176" i="1"/>
  <c r="F177" i="1"/>
  <c r="F178" i="1"/>
  <c r="F180" i="1"/>
  <c r="F179" i="1"/>
  <c r="F182" i="1"/>
  <c r="F181" i="1"/>
  <c r="F185" i="1"/>
  <c r="F183" i="1"/>
  <c r="F186" i="1"/>
  <c r="F184" i="1"/>
  <c r="F187" i="1"/>
  <c r="F188" i="1"/>
  <c r="F189" i="1"/>
  <c r="F190" i="1"/>
  <c r="F192" i="1"/>
  <c r="F191" i="1"/>
  <c r="F194" i="1"/>
  <c r="F193" i="1"/>
  <c r="F195" i="1"/>
  <c r="F197" i="1"/>
  <c r="F196" i="1"/>
  <c r="F199" i="1"/>
  <c r="F198" i="1"/>
  <c r="F200" i="1"/>
  <c r="F201" i="1"/>
  <c r="F202" i="1"/>
  <c r="F204" i="1"/>
  <c r="F203" i="1"/>
  <c r="F205" i="1"/>
  <c r="F209" i="1"/>
  <c r="F208" i="1"/>
  <c r="F206" i="1"/>
  <c r="F207" i="1"/>
  <c r="F211" i="1"/>
  <c r="F210" i="1"/>
  <c r="F212" i="1"/>
  <c r="F214" i="1"/>
  <c r="F216" i="1"/>
  <c r="F215" i="1"/>
  <c r="F213" i="1"/>
  <c r="F217" i="1"/>
  <c r="F219" i="1"/>
  <c r="F218" i="1"/>
  <c r="F220" i="1"/>
  <c r="F221" i="1"/>
  <c r="F222" i="1"/>
  <c r="F223" i="1"/>
  <c r="F224" i="1"/>
  <c r="F225" i="1"/>
  <c r="F226" i="1"/>
  <c r="F227" i="1"/>
  <c r="F229" i="1"/>
  <c r="F228" i="1"/>
  <c r="F233" i="1"/>
  <c r="F230" i="1"/>
  <c r="F231" i="1"/>
  <c r="F234" i="1"/>
  <c r="F232" i="1"/>
  <c r="F238" i="1"/>
  <c r="F235" i="1"/>
  <c r="F237" i="1"/>
  <c r="F236" i="1"/>
  <c r="F240" i="1"/>
  <c r="F241" i="1"/>
  <c r="F239" i="1"/>
  <c r="F242" i="1"/>
  <c r="F243" i="1"/>
  <c r="F245" i="1"/>
  <c r="F244" i="1"/>
  <c r="F246" i="1"/>
  <c r="F247" i="1"/>
  <c r="F249" i="1"/>
  <c r="F250" i="1"/>
  <c r="F248" i="1"/>
  <c r="F253" i="1"/>
  <c r="F254" i="1"/>
  <c r="F252" i="1"/>
  <c r="F251" i="1"/>
  <c r="F256" i="1"/>
  <c r="F257" i="1"/>
  <c r="F255" i="1"/>
  <c r="F262" i="1"/>
  <c r="F259" i="1"/>
  <c r="F261" i="1"/>
  <c r="F258" i="1"/>
  <c r="F260" i="1"/>
  <c r="F265" i="1"/>
  <c r="F264" i="1"/>
  <c r="F263" i="1"/>
  <c r="F268" i="1"/>
  <c r="F266" i="1"/>
  <c r="F267" i="1"/>
  <c r="F269" i="1"/>
  <c r="F270" i="1"/>
  <c r="F271" i="1"/>
  <c r="F274" i="1"/>
  <c r="F276" i="1"/>
  <c r="F272" i="1"/>
  <c r="F275" i="1"/>
  <c r="F273" i="1"/>
  <c r="F280" i="1"/>
  <c r="F278" i="1"/>
  <c r="F281" i="1"/>
  <c r="F279" i="1"/>
  <c r="F277" i="1"/>
  <c r="F286" i="1"/>
  <c r="F285" i="1"/>
  <c r="F284" i="1"/>
  <c r="F282" i="1"/>
  <c r="F283" i="1"/>
  <c r="F287" i="1"/>
  <c r="F288" i="1"/>
  <c r="F289" i="1"/>
  <c r="F292" i="1"/>
  <c r="F291" i="1"/>
  <c r="F290" i="1"/>
  <c r="F293" i="1"/>
  <c r="F294" i="1"/>
  <c r="F295" i="1"/>
  <c r="F297" i="1"/>
  <c r="F296" i="1"/>
  <c r="F298" i="1"/>
  <c r="F300" i="1"/>
  <c r="F301" i="1"/>
  <c r="F302" i="1"/>
  <c r="F299" i="1"/>
  <c r="F307" i="1"/>
  <c r="F305" i="1"/>
  <c r="F306" i="1"/>
  <c r="F303" i="1"/>
  <c r="F304" i="1"/>
  <c r="F309" i="1"/>
  <c r="F308" i="1"/>
  <c r="F310" i="1"/>
  <c r="F311" i="1"/>
  <c r="F312" i="1"/>
  <c r="F313" i="1"/>
  <c r="F314" i="1"/>
  <c r="F317" i="1"/>
  <c r="F316" i="1"/>
  <c r="F315" i="1"/>
  <c r="F320" i="1"/>
  <c r="F319" i="1"/>
  <c r="F318" i="1"/>
  <c r="F324" i="1"/>
  <c r="F323" i="1"/>
  <c r="F322" i="1"/>
  <c r="F321" i="1"/>
  <c r="F326" i="1"/>
  <c r="F325" i="1"/>
  <c r="F327" i="1"/>
  <c r="F328" i="1"/>
  <c r="F333" i="1"/>
  <c r="F330" i="1"/>
  <c r="F331" i="1"/>
  <c r="F332" i="1"/>
  <c r="F329" i="1"/>
  <c r="F335" i="1"/>
  <c r="F334" i="1"/>
  <c r="F340" i="1"/>
  <c r="F336" i="1"/>
  <c r="F338" i="1"/>
  <c r="F339" i="1"/>
  <c r="F337" i="1"/>
  <c r="F344" i="1"/>
  <c r="F341" i="1"/>
  <c r="F343" i="1"/>
  <c r="F342" i="1"/>
  <c r="F345" i="1"/>
  <c r="F349" i="1"/>
  <c r="F348" i="1"/>
  <c r="F346" i="1"/>
  <c r="F347" i="1"/>
  <c r="F350" i="1"/>
  <c r="F351" i="1"/>
  <c r="F353" i="1"/>
  <c r="F354" i="1"/>
  <c r="F355" i="1"/>
  <c r="F352" i="1"/>
  <c r="F356" i="1"/>
  <c r="F366" i="1"/>
  <c r="F364" i="1"/>
  <c r="F360" i="1"/>
  <c r="F357" i="1"/>
  <c r="F367" i="1"/>
  <c r="F363" i="1"/>
  <c r="F362" i="1"/>
  <c r="F361" i="1"/>
  <c r="F358" i="1"/>
  <c r="F365" i="1"/>
  <c r="F359" i="1"/>
  <c r="F373" i="1"/>
  <c r="F372" i="1"/>
  <c r="F371" i="1"/>
  <c r="F369" i="1"/>
  <c r="F370" i="1"/>
  <c r="F368" i="1"/>
  <c r="F374" i="1"/>
  <c r="F375" i="1"/>
  <c r="F376" i="1"/>
  <c r="F379" i="1"/>
  <c r="F383" i="1"/>
  <c r="F380" i="1"/>
  <c r="F378" i="1"/>
  <c r="F382" i="1"/>
  <c r="F377" i="1"/>
  <c r="F381" i="1"/>
  <c r="F390" i="1"/>
  <c r="F387" i="1"/>
  <c r="F388" i="1"/>
  <c r="F384" i="1"/>
  <c r="F389" i="1"/>
  <c r="F386" i="1"/>
  <c r="F385" i="1"/>
  <c r="F397" i="1"/>
  <c r="F393" i="1"/>
  <c r="F398" i="1"/>
  <c r="F396" i="1"/>
  <c r="F392" i="1"/>
  <c r="F395" i="1"/>
  <c r="F394" i="1"/>
  <c r="F391" i="1"/>
  <c r="F399" i="1"/>
  <c r="F402" i="1"/>
  <c r="F401" i="1"/>
  <c r="F400" i="1"/>
  <c r="F403" i="1"/>
  <c r="F405" i="1"/>
  <c r="F404" i="1"/>
  <c r="F406" i="1"/>
  <c r="F407" i="1"/>
  <c r="F408" i="1"/>
  <c r="F409" i="1"/>
  <c r="F413" i="1"/>
  <c r="F414" i="1"/>
  <c r="F412" i="1"/>
  <c r="F410" i="1"/>
  <c r="F415" i="1"/>
  <c r="F411" i="1"/>
  <c r="F418" i="1"/>
  <c r="F417" i="1"/>
  <c r="F421" i="1"/>
  <c r="F423" i="1"/>
  <c r="F419" i="1"/>
  <c r="F422" i="1"/>
  <c r="F420" i="1"/>
  <c r="F416" i="1"/>
  <c r="F429" i="1"/>
  <c r="F424" i="1"/>
  <c r="F428" i="1"/>
  <c r="F427" i="1"/>
  <c r="F433" i="1"/>
  <c r="F425" i="1"/>
  <c r="F426" i="1"/>
  <c r="F432" i="1"/>
  <c r="F430" i="1"/>
  <c r="F431" i="1"/>
  <c r="F434" i="1"/>
  <c r="F436" i="1"/>
  <c r="F435" i="1"/>
  <c r="F437" i="1"/>
  <c r="F438" i="1"/>
  <c r="F440" i="1"/>
  <c r="F442" i="1"/>
  <c r="F441" i="1"/>
  <c r="F439" i="1"/>
  <c r="F444" i="1"/>
  <c r="F445" i="1"/>
  <c r="F443" i="1"/>
  <c r="F449" i="1"/>
  <c r="F446" i="1"/>
  <c r="F447" i="1"/>
  <c r="F448" i="1"/>
  <c r="F453" i="1"/>
  <c r="F452" i="1"/>
  <c r="F451" i="1"/>
  <c r="F450" i="1"/>
  <c r="F454" i="1"/>
  <c r="F456" i="1"/>
  <c r="F455" i="1"/>
  <c r="F457" i="1"/>
  <c r="F459" i="1"/>
  <c r="F458" i="1"/>
  <c r="F460" i="1"/>
  <c r="F461" i="1"/>
  <c r="F462" i="1"/>
  <c r="F463" i="1"/>
  <c r="F466" i="1"/>
  <c r="F464" i="1"/>
  <c r="F468" i="1"/>
  <c r="F469" i="1"/>
  <c r="F465" i="1"/>
  <c r="F470" i="1"/>
  <c r="F467" i="1"/>
  <c r="F472" i="1"/>
  <c r="F473" i="1"/>
  <c r="F471" i="1"/>
  <c r="F474" i="1"/>
  <c r="F475" i="1"/>
  <c r="F476" i="1"/>
  <c r="F480" i="1"/>
  <c r="F482" i="1"/>
  <c r="F478" i="1"/>
  <c r="F477" i="1"/>
  <c r="F479" i="1"/>
  <c r="F481" i="1"/>
  <c r="F485" i="1"/>
  <c r="F483" i="1"/>
  <c r="F487" i="1"/>
  <c r="F488" i="1"/>
  <c r="F489" i="1"/>
  <c r="F484" i="1"/>
  <c r="F486" i="1"/>
  <c r="F492" i="1"/>
  <c r="F490" i="1"/>
  <c r="F493" i="1"/>
  <c r="F491" i="1"/>
  <c r="F494" i="1"/>
  <c r="F495" i="1"/>
  <c r="F496" i="1"/>
  <c r="F498" i="1"/>
  <c r="F497" i="1"/>
  <c r="F500" i="1"/>
  <c r="F499" i="1"/>
  <c r="F504" i="1"/>
  <c r="F502" i="1"/>
  <c r="F503" i="1"/>
  <c r="F505" i="1"/>
  <c r="F506" i="1"/>
  <c r="F501" i="1"/>
  <c r="F507" i="1"/>
  <c r="F508" i="1"/>
  <c r="F509" i="1"/>
  <c r="F511" i="1"/>
  <c r="F510" i="1"/>
  <c r="F513" i="1"/>
  <c r="F514" i="1"/>
  <c r="F512" i="1"/>
  <c r="F523" i="1"/>
  <c r="F520" i="1"/>
  <c r="F521" i="1"/>
  <c r="F522" i="1"/>
  <c r="F517" i="1"/>
  <c r="F519" i="1"/>
  <c r="F515" i="1"/>
  <c r="F516" i="1"/>
  <c r="F518" i="1"/>
  <c r="F525" i="1"/>
  <c r="F524" i="1"/>
  <c r="F526" i="1"/>
  <c r="F529" i="1"/>
  <c r="F528" i="1"/>
  <c r="F527" i="1"/>
  <c r="F530" i="1"/>
  <c r="F532" i="1"/>
  <c r="F531" i="1"/>
  <c r="F533" i="1"/>
  <c r="F534" i="1"/>
  <c r="F535" i="1"/>
  <c r="F536" i="1"/>
  <c r="F538" i="1"/>
  <c r="F540" i="1"/>
  <c r="F537" i="1"/>
  <c r="F539" i="1"/>
  <c r="F541" i="1"/>
  <c r="F542" i="1"/>
  <c r="F546" i="1"/>
  <c r="F544" i="1"/>
  <c r="F543" i="1"/>
  <c r="F545" i="1"/>
  <c r="F548" i="1"/>
  <c r="F547" i="1"/>
  <c r="F552" i="1"/>
  <c r="F551" i="1"/>
  <c r="F553" i="1"/>
  <c r="F549" i="1"/>
  <c r="F550" i="1"/>
  <c r="F554" i="1"/>
  <c r="F555" i="1"/>
  <c r="F557" i="1"/>
  <c r="F559" i="1"/>
  <c r="F560" i="1"/>
  <c r="F558" i="1"/>
  <c r="F561" i="1"/>
  <c r="F556" i="1"/>
  <c r="F562" i="1"/>
  <c r="F563" i="1"/>
  <c r="F566" i="1"/>
  <c r="F564" i="1"/>
  <c r="F565" i="1"/>
  <c r="F567" i="1"/>
  <c r="F2" i="1"/>
  <c r="C4" i="1"/>
  <c r="C5" i="1"/>
  <c r="C6" i="1"/>
  <c r="C7" i="1"/>
  <c r="C8" i="1"/>
  <c r="C9" i="1"/>
  <c r="C10" i="1"/>
  <c r="C11" i="1"/>
  <c r="C12" i="1"/>
  <c r="C13" i="1"/>
  <c r="C14" i="1"/>
  <c r="C16" i="1"/>
  <c r="C15" i="1"/>
  <c r="C17" i="1"/>
  <c r="C18" i="1"/>
  <c r="C20" i="1"/>
  <c r="C19" i="1"/>
  <c r="C21" i="1"/>
  <c r="C22" i="1"/>
  <c r="C23" i="1"/>
  <c r="C24" i="1"/>
  <c r="C25" i="1"/>
  <c r="C26" i="1"/>
  <c r="C27" i="1"/>
  <c r="C28" i="1"/>
  <c r="C29" i="1"/>
  <c r="C30" i="1"/>
  <c r="C31" i="1"/>
  <c r="C32" i="1"/>
  <c r="C34" i="1"/>
  <c r="C33" i="1"/>
  <c r="C35" i="1"/>
  <c r="C36" i="1"/>
  <c r="C37" i="1"/>
  <c r="C38" i="1"/>
  <c r="C39" i="1"/>
  <c r="C40" i="1"/>
  <c r="C41" i="1"/>
  <c r="C42" i="1"/>
  <c r="C43" i="1"/>
  <c r="C46" i="1"/>
  <c r="C45" i="1"/>
  <c r="C47" i="1"/>
  <c r="C44" i="1"/>
  <c r="C48" i="1"/>
  <c r="C49" i="1"/>
  <c r="C51" i="1"/>
  <c r="C50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9" i="1"/>
  <c r="C78" i="1"/>
  <c r="C81" i="1"/>
  <c r="C80" i="1"/>
  <c r="C83" i="1"/>
  <c r="C82" i="1"/>
  <c r="C84" i="1"/>
  <c r="C87" i="1"/>
  <c r="C85" i="1"/>
  <c r="C86" i="1"/>
  <c r="C88" i="1"/>
  <c r="C89" i="1"/>
  <c r="C90" i="1"/>
  <c r="C91" i="1"/>
  <c r="C92" i="1"/>
  <c r="C95" i="1"/>
  <c r="C94" i="1"/>
  <c r="C96" i="1"/>
  <c r="C93" i="1"/>
  <c r="C98" i="1"/>
  <c r="C97" i="1"/>
  <c r="C99" i="1"/>
  <c r="C100" i="1"/>
  <c r="C101" i="1"/>
  <c r="C102" i="1"/>
  <c r="C103" i="1"/>
  <c r="C105" i="1"/>
  <c r="C106" i="1"/>
  <c r="C104" i="1"/>
  <c r="C107" i="1"/>
  <c r="C108" i="1"/>
  <c r="C109" i="1"/>
  <c r="C110" i="1"/>
  <c r="C111" i="1"/>
  <c r="C112" i="1"/>
  <c r="C114" i="1"/>
  <c r="C113" i="1"/>
  <c r="C115" i="1"/>
  <c r="C117" i="1"/>
  <c r="C116" i="1"/>
  <c r="C118" i="1"/>
  <c r="C119" i="1"/>
  <c r="C120" i="1"/>
  <c r="C123" i="1"/>
  <c r="C122" i="1"/>
  <c r="C124" i="1"/>
  <c r="C121" i="1"/>
  <c r="C125" i="1"/>
  <c r="C126" i="1"/>
  <c r="C127" i="1"/>
  <c r="C130" i="1"/>
  <c r="C129" i="1"/>
  <c r="C131" i="1"/>
  <c r="C128" i="1"/>
  <c r="C133" i="1"/>
  <c r="C132" i="1"/>
  <c r="C136" i="1"/>
  <c r="C135" i="1"/>
  <c r="C134" i="1"/>
  <c r="C137" i="1"/>
  <c r="C138" i="1"/>
  <c r="C139" i="1"/>
  <c r="C140" i="1"/>
  <c r="C141" i="1"/>
  <c r="C142" i="1"/>
  <c r="C143" i="1"/>
  <c r="C145" i="1"/>
  <c r="C146" i="1"/>
  <c r="C144" i="1"/>
  <c r="C148" i="1"/>
  <c r="C147" i="1"/>
  <c r="C149" i="1"/>
  <c r="C150" i="1"/>
  <c r="C151" i="1"/>
  <c r="C152" i="1"/>
  <c r="C155" i="1"/>
  <c r="C153" i="1"/>
  <c r="C156" i="1"/>
  <c r="C154" i="1"/>
  <c r="C158" i="1"/>
  <c r="C157" i="1"/>
  <c r="C160" i="1"/>
  <c r="C159" i="1"/>
  <c r="C161" i="1"/>
  <c r="C162" i="1"/>
  <c r="C164" i="1"/>
  <c r="C165" i="1"/>
  <c r="C163" i="1"/>
  <c r="C167" i="1"/>
  <c r="C166" i="1"/>
  <c r="C168" i="1"/>
  <c r="C169" i="1"/>
  <c r="C174" i="1"/>
  <c r="C171" i="1"/>
  <c r="C173" i="1"/>
  <c r="C170" i="1"/>
  <c r="C172" i="1"/>
  <c r="C175" i="1"/>
  <c r="C176" i="1"/>
  <c r="C177" i="1"/>
  <c r="C178" i="1"/>
  <c r="C180" i="1"/>
  <c r="C179" i="1"/>
  <c r="C182" i="1"/>
  <c r="C181" i="1"/>
  <c r="C185" i="1"/>
  <c r="C183" i="1"/>
  <c r="C186" i="1"/>
  <c r="C184" i="1"/>
  <c r="C187" i="1"/>
  <c r="C188" i="1"/>
  <c r="C189" i="1"/>
  <c r="C190" i="1"/>
  <c r="C192" i="1"/>
  <c r="C191" i="1"/>
  <c r="C194" i="1"/>
  <c r="C193" i="1"/>
  <c r="C195" i="1"/>
  <c r="C197" i="1"/>
  <c r="C196" i="1"/>
  <c r="C199" i="1"/>
  <c r="C198" i="1"/>
  <c r="C200" i="1"/>
  <c r="C201" i="1"/>
  <c r="C202" i="1"/>
  <c r="C204" i="1"/>
  <c r="C203" i="1"/>
  <c r="C205" i="1"/>
  <c r="C209" i="1"/>
  <c r="C208" i="1"/>
  <c r="C206" i="1"/>
  <c r="C207" i="1"/>
  <c r="C211" i="1"/>
  <c r="C210" i="1"/>
  <c r="C212" i="1"/>
  <c r="C214" i="1"/>
  <c r="C216" i="1"/>
  <c r="C215" i="1"/>
  <c r="C213" i="1"/>
  <c r="C217" i="1"/>
  <c r="C219" i="1"/>
  <c r="C218" i="1"/>
  <c r="C220" i="1"/>
  <c r="C221" i="1"/>
  <c r="C222" i="1"/>
  <c r="C223" i="1"/>
  <c r="C224" i="1"/>
  <c r="C225" i="1"/>
  <c r="C226" i="1"/>
  <c r="C227" i="1"/>
  <c r="C229" i="1"/>
  <c r="C228" i="1"/>
  <c r="C233" i="1"/>
  <c r="C230" i="1"/>
  <c r="C231" i="1"/>
  <c r="C234" i="1"/>
  <c r="C232" i="1"/>
  <c r="C238" i="1"/>
  <c r="C235" i="1"/>
  <c r="C237" i="1"/>
  <c r="C236" i="1"/>
  <c r="C240" i="1"/>
  <c r="C241" i="1"/>
  <c r="C239" i="1"/>
  <c r="C242" i="1"/>
  <c r="C243" i="1"/>
  <c r="C245" i="1"/>
  <c r="C244" i="1"/>
  <c r="C246" i="1"/>
  <c r="C247" i="1"/>
  <c r="C249" i="1"/>
  <c r="C250" i="1"/>
  <c r="C248" i="1"/>
  <c r="C253" i="1"/>
  <c r="C254" i="1"/>
  <c r="C252" i="1"/>
  <c r="C251" i="1"/>
  <c r="C256" i="1"/>
  <c r="C257" i="1"/>
  <c r="C255" i="1"/>
  <c r="C262" i="1"/>
  <c r="C259" i="1"/>
  <c r="C261" i="1"/>
  <c r="C258" i="1"/>
  <c r="C260" i="1"/>
  <c r="C265" i="1"/>
  <c r="C264" i="1"/>
  <c r="C263" i="1"/>
  <c r="C268" i="1"/>
  <c r="C266" i="1"/>
  <c r="C267" i="1"/>
  <c r="C269" i="1"/>
  <c r="C270" i="1"/>
  <c r="C271" i="1"/>
  <c r="C274" i="1"/>
  <c r="C276" i="1"/>
  <c r="C272" i="1"/>
  <c r="C275" i="1"/>
  <c r="C273" i="1"/>
  <c r="C280" i="1"/>
  <c r="C278" i="1"/>
  <c r="C281" i="1"/>
  <c r="C279" i="1"/>
  <c r="C277" i="1"/>
  <c r="C286" i="1"/>
  <c r="C285" i="1"/>
  <c r="C284" i="1"/>
  <c r="C282" i="1"/>
  <c r="C283" i="1"/>
  <c r="C287" i="1"/>
  <c r="C288" i="1"/>
  <c r="C289" i="1"/>
  <c r="C292" i="1"/>
  <c r="C291" i="1"/>
  <c r="C290" i="1"/>
  <c r="C293" i="1"/>
  <c r="C294" i="1"/>
  <c r="C295" i="1"/>
  <c r="C297" i="1"/>
  <c r="C296" i="1"/>
  <c r="C298" i="1"/>
  <c r="C300" i="1"/>
  <c r="C301" i="1"/>
  <c r="C302" i="1"/>
  <c r="C299" i="1"/>
  <c r="C307" i="1"/>
  <c r="C305" i="1"/>
  <c r="C306" i="1"/>
  <c r="C303" i="1"/>
  <c r="C304" i="1"/>
  <c r="C309" i="1"/>
  <c r="C308" i="1"/>
  <c r="C310" i="1"/>
  <c r="C311" i="1"/>
  <c r="C312" i="1"/>
  <c r="C313" i="1"/>
  <c r="C314" i="1"/>
  <c r="C317" i="1"/>
  <c r="C316" i="1"/>
  <c r="C315" i="1"/>
  <c r="C320" i="1"/>
  <c r="C319" i="1"/>
  <c r="C318" i="1"/>
  <c r="C324" i="1"/>
  <c r="C323" i="1"/>
  <c r="C322" i="1"/>
  <c r="C321" i="1"/>
  <c r="C326" i="1"/>
  <c r="C325" i="1"/>
  <c r="C327" i="1"/>
  <c r="C328" i="1"/>
  <c r="C333" i="1"/>
  <c r="C330" i="1"/>
  <c r="C331" i="1"/>
  <c r="C332" i="1"/>
  <c r="C329" i="1"/>
  <c r="C335" i="1"/>
  <c r="C334" i="1"/>
  <c r="C340" i="1"/>
  <c r="C336" i="1"/>
  <c r="C338" i="1"/>
  <c r="C339" i="1"/>
  <c r="C337" i="1"/>
  <c r="C344" i="1"/>
  <c r="C341" i="1"/>
  <c r="C343" i="1"/>
  <c r="C342" i="1"/>
  <c r="C345" i="1"/>
  <c r="C349" i="1"/>
  <c r="C348" i="1"/>
  <c r="C346" i="1"/>
  <c r="C347" i="1"/>
  <c r="C350" i="1"/>
  <c r="C351" i="1"/>
  <c r="C353" i="1"/>
  <c r="C354" i="1"/>
  <c r="C355" i="1"/>
  <c r="C352" i="1"/>
  <c r="C356" i="1"/>
  <c r="C366" i="1"/>
  <c r="C364" i="1"/>
  <c r="C360" i="1"/>
  <c r="C357" i="1"/>
  <c r="C367" i="1"/>
  <c r="C363" i="1"/>
  <c r="C362" i="1"/>
  <c r="C361" i="1"/>
  <c r="C358" i="1"/>
  <c r="C365" i="1"/>
  <c r="C359" i="1"/>
  <c r="C373" i="1"/>
  <c r="C372" i="1"/>
  <c r="C371" i="1"/>
  <c r="C369" i="1"/>
  <c r="C370" i="1"/>
  <c r="C368" i="1"/>
  <c r="C374" i="1"/>
  <c r="C375" i="1"/>
  <c r="C376" i="1"/>
  <c r="C379" i="1"/>
  <c r="C383" i="1"/>
  <c r="C380" i="1"/>
  <c r="C378" i="1"/>
  <c r="C382" i="1"/>
  <c r="C377" i="1"/>
  <c r="C381" i="1"/>
  <c r="C390" i="1"/>
  <c r="C387" i="1"/>
  <c r="C388" i="1"/>
  <c r="C384" i="1"/>
  <c r="C389" i="1"/>
  <c r="C386" i="1"/>
  <c r="C385" i="1"/>
  <c r="C397" i="1"/>
  <c r="C393" i="1"/>
  <c r="C398" i="1"/>
  <c r="C396" i="1"/>
  <c r="C392" i="1"/>
  <c r="C395" i="1"/>
  <c r="C394" i="1"/>
  <c r="C391" i="1"/>
  <c r="C399" i="1"/>
  <c r="C402" i="1"/>
  <c r="C401" i="1"/>
  <c r="C400" i="1"/>
  <c r="C403" i="1"/>
  <c r="C405" i="1"/>
  <c r="C404" i="1"/>
  <c r="C406" i="1"/>
  <c r="C407" i="1"/>
  <c r="C408" i="1"/>
  <c r="C409" i="1"/>
  <c r="C413" i="1"/>
  <c r="C414" i="1"/>
  <c r="C412" i="1"/>
  <c r="C410" i="1"/>
  <c r="C415" i="1"/>
  <c r="C411" i="1"/>
  <c r="C418" i="1"/>
  <c r="C417" i="1"/>
  <c r="C421" i="1"/>
  <c r="C423" i="1"/>
  <c r="C419" i="1"/>
  <c r="C422" i="1"/>
  <c r="C420" i="1"/>
  <c r="C416" i="1"/>
  <c r="C429" i="1"/>
  <c r="C424" i="1"/>
  <c r="C428" i="1"/>
  <c r="C427" i="1"/>
  <c r="C433" i="1"/>
  <c r="C425" i="1"/>
  <c r="C426" i="1"/>
  <c r="C432" i="1"/>
  <c r="C430" i="1"/>
  <c r="C431" i="1"/>
  <c r="C434" i="1"/>
  <c r="C436" i="1"/>
  <c r="C435" i="1"/>
  <c r="C437" i="1"/>
  <c r="C438" i="1"/>
  <c r="C440" i="1"/>
  <c r="C442" i="1"/>
  <c r="C441" i="1"/>
  <c r="C439" i="1"/>
  <c r="C444" i="1"/>
  <c r="C445" i="1"/>
  <c r="C443" i="1"/>
  <c r="C449" i="1"/>
  <c r="C446" i="1"/>
  <c r="C447" i="1"/>
  <c r="C448" i="1"/>
  <c r="C453" i="1"/>
  <c r="C452" i="1"/>
  <c r="C451" i="1"/>
  <c r="C450" i="1"/>
  <c r="C454" i="1"/>
  <c r="C456" i="1"/>
  <c r="C455" i="1"/>
  <c r="C457" i="1"/>
  <c r="C459" i="1"/>
  <c r="C458" i="1"/>
  <c r="C460" i="1"/>
  <c r="C461" i="1"/>
  <c r="C462" i="1"/>
  <c r="C463" i="1"/>
  <c r="C466" i="1"/>
  <c r="C464" i="1"/>
  <c r="C468" i="1"/>
  <c r="C469" i="1"/>
  <c r="C465" i="1"/>
  <c r="C470" i="1"/>
  <c r="C467" i="1"/>
  <c r="C472" i="1"/>
  <c r="C473" i="1"/>
  <c r="C471" i="1"/>
  <c r="C474" i="1"/>
  <c r="C475" i="1"/>
  <c r="C476" i="1"/>
  <c r="C480" i="1"/>
  <c r="C482" i="1"/>
  <c r="C478" i="1"/>
  <c r="C477" i="1"/>
  <c r="C479" i="1"/>
  <c r="C481" i="1"/>
  <c r="C485" i="1"/>
  <c r="C483" i="1"/>
  <c r="C487" i="1"/>
  <c r="C488" i="1"/>
  <c r="C489" i="1"/>
  <c r="C484" i="1"/>
  <c r="C486" i="1"/>
  <c r="C492" i="1"/>
  <c r="C490" i="1"/>
  <c r="C493" i="1"/>
  <c r="C491" i="1"/>
  <c r="C494" i="1"/>
  <c r="C495" i="1"/>
  <c r="C496" i="1"/>
  <c r="C498" i="1"/>
  <c r="C497" i="1"/>
  <c r="C500" i="1"/>
  <c r="C499" i="1"/>
  <c r="C504" i="1"/>
  <c r="C502" i="1"/>
  <c r="C503" i="1"/>
  <c r="C505" i="1"/>
  <c r="C506" i="1"/>
  <c r="C501" i="1"/>
  <c r="C507" i="1"/>
  <c r="C508" i="1"/>
  <c r="C509" i="1"/>
  <c r="C511" i="1"/>
  <c r="C510" i="1"/>
  <c r="C513" i="1"/>
  <c r="C514" i="1"/>
  <c r="C512" i="1"/>
  <c r="C523" i="1"/>
  <c r="C520" i="1"/>
  <c r="C521" i="1"/>
  <c r="C522" i="1"/>
  <c r="C517" i="1"/>
  <c r="C519" i="1"/>
  <c r="C515" i="1"/>
  <c r="C516" i="1"/>
  <c r="C518" i="1"/>
  <c r="C525" i="1"/>
  <c r="C524" i="1"/>
  <c r="C526" i="1"/>
  <c r="C529" i="1"/>
  <c r="C528" i="1"/>
  <c r="C527" i="1"/>
  <c r="C530" i="1"/>
  <c r="C532" i="1"/>
  <c r="C531" i="1"/>
  <c r="C533" i="1"/>
  <c r="C534" i="1"/>
  <c r="C535" i="1"/>
  <c r="C536" i="1"/>
  <c r="C538" i="1"/>
  <c r="C540" i="1"/>
  <c r="C537" i="1"/>
  <c r="C539" i="1"/>
  <c r="C541" i="1"/>
  <c r="C542" i="1"/>
  <c r="C546" i="1"/>
  <c r="C544" i="1"/>
  <c r="C543" i="1"/>
  <c r="C545" i="1"/>
  <c r="C548" i="1"/>
  <c r="C547" i="1"/>
  <c r="C552" i="1"/>
  <c r="C551" i="1"/>
  <c r="C553" i="1"/>
  <c r="C549" i="1"/>
  <c r="C550" i="1"/>
  <c r="C554" i="1"/>
  <c r="C555" i="1"/>
  <c r="C557" i="1"/>
  <c r="C559" i="1"/>
  <c r="C560" i="1"/>
  <c r="C558" i="1"/>
  <c r="C561" i="1"/>
  <c r="C556" i="1"/>
  <c r="C562" i="1"/>
  <c r="C563" i="1"/>
  <c r="C566" i="1"/>
  <c r="C564" i="1"/>
  <c r="C565" i="1"/>
  <c r="C567" i="1"/>
  <c r="C3" i="1"/>
  <c r="C2" i="1"/>
  <c r="E2" i="1"/>
  <c r="N3" i="1"/>
  <c r="N4" i="1"/>
  <c r="N5" i="1"/>
  <c r="N6" i="1"/>
  <c r="N7" i="1"/>
  <c r="N8" i="1"/>
  <c r="N9" i="1"/>
  <c r="N10" i="1"/>
  <c r="N11" i="1"/>
  <c r="N12" i="1"/>
  <c r="N13" i="1"/>
  <c r="N14" i="1"/>
  <c r="N16" i="1"/>
  <c r="N15" i="1"/>
  <c r="N17" i="1"/>
  <c r="N18" i="1"/>
  <c r="N20" i="1"/>
  <c r="N19" i="1"/>
  <c r="N21" i="1"/>
  <c r="N22" i="1"/>
  <c r="N23" i="1"/>
  <c r="N24" i="1"/>
  <c r="N25" i="1"/>
  <c r="N26" i="1"/>
  <c r="N27" i="1"/>
  <c r="N28" i="1"/>
  <c r="N29" i="1"/>
  <c r="N30" i="1"/>
  <c r="N31" i="1"/>
  <c r="N32" i="1"/>
  <c r="N34" i="1"/>
  <c r="N33" i="1"/>
  <c r="N35" i="1"/>
  <c r="N36" i="1"/>
  <c r="N37" i="1"/>
  <c r="N38" i="1"/>
  <c r="N39" i="1"/>
  <c r="N40" i="1"/>
  <c r="N41" i="1"/>
  <c r="N42" i="1"/>
  <c r="N43" i="1"/>
  <c r="N46" i="1"/>
  <c r="N45" i="1"/>
  <c r="N47" i="1"/>
  <c r="N44" i="1"/>
  <c r="N48" i="1"/>
  <c r="N49" i="1"/>
  <c r="N51" i="1"/>
  <c r="N50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9" i="1"/>
  <c r="N78" i="1"/>
  <c r="N81" i="1"/>
  <c r="N80" i="1"/>
  <c r="N83" i="1"/>
  <c r="N82" i="1"/>
  <c r="N84" i="1"/>
  <c r="N87" i="1"/>
  <c r="N85" i="1"/>
  <c r="N86" i="1"/>
  <c r="N88" i="1"/>
  <c r="N89" i="1"/>
  <c r="N90" i="1"/>
  <c r="N91" i="1"/>
  <c r="N92" i="1"/>
  <c r="N95" i="1"/>
  <c r="N94" i="1"/>
  <c r="N96" i="1"/>
  <c r="N93" i="1"/>
  <c r="N98" i="1"/>
  <c r="N97" i="1"/>
  <c r="N99" i="1"/>
  <c r="N100" i="1"/>
  <c r="N101" i="1"/>
  <c r="N102" i="1"/>
  <c r="N103" i="1"/>
  <c r="N105" i="1"/>
  <c r="N106" i="1"/>
  <c r="N104" i="1"/>
  <c r="N107" i="1"/>
  <c r="N108" i="1"/>
  <c r="N109" i="1"/>
  <c r="N110" i="1"/>
  <c r="N111" i="1"/>
  <c r="N112" i="1"/>
  <c r="N114" i="1"/>
  <c r="N113" i="1"/>
  <c r="N115" i="1"/>
  <c r="N117" i="1"/>
  <c r="N116" i="1"/>
  <c r="N118" i="1"/>
  <c r="N119" i="1"/>
  <c r="N120" i="1"/>
  <c r="N123" i="1"/>
  <c r="N122" i="1"/>
  <c r="N124" i="1"/>
  <c r="N121" i="1"/>
  <c r="N125" i="1"/>
  <c r="N126" i="1"/>
  <c r="N127" i="1"/>
  <c r="N130" i="1"/>
  <c r="N129" i="1"/>
  <c r="N131" i="1"/>
  <c r="N128" i="1"/>
  <c r="N133" i="1"/>
  <c r="N132" i="1"/>
  <c r="N136" i="1"/>
  <c r="N135" i="1"/>
  <c r="N134" i="1"/>
  <c r="N137" i="1"/>
  <c r="N138" i="1"/>
  <c r="N139" i="1"/>
  <c r="N140" i="1"/>
  <c r="N141" i="1"/>
  <c r="N142" i="1"/>
  <c r="N143" i="1"/>
  <c r="N145" i="1"/>
  <c r="N146" i="1"/>
  <c r="N144" i="1"/>
  <c r="N148" i="1"/>
  <c r="N147" i="1"/>
  <c r="N149" i="1"/>
  <c r="N150" i="1"/>
  <c r="N151" i="1"/>
  <c r="N152" i="1"/>
  <c r="N155" i="1"/>
  <c r="N153" i="1"/>
  <c r="N156" i="1"/>
  <c r="N154" i="1"/>
  <c r="N158" i="1"/>
  <c r="N157" i="1"/>
  <c r="N160" i="1"/>
  <c r="N159" i="1"/>
  <c r="N161" i="1"/>
  <c r="N162" i="1"/>
  <c r="N164" i="1"/>
  <c r="N165" i="1"/>
  <c r="N163" i="1"/>
  <c r="N167" i="1"/>
  <c r="N166" i="1"/>
  <c r="N168" i="1"/>
  <c r="N169" i="1"/>
  <c r="N174" i="1"/>
  <c r="N171" i="1"/>
  <c r="N173" i="1"/>
  <c r="N170" i="1"/>
  <c r="N172" i="1"/>
  <c r="N175" i="1"/>
  <c r="N176" i="1"/>
  <c r="N177" i="1"/>
  <c r="N178" i="1"/>
  <c r="N180" i="1"/>
  <c r="N179" i="1"/>
  <c r="N182" i="1"/>
  <c r="N181" i="1"/>
  <c r="N185" i="1"/>
  <c r="N183" i="1"/>
  <c r="N186" i="1"/>
  <c r="N184" i="1"/>
  <c r="N187" i="1"/>
  <c r="N188" i="1"/>
  <c r="N189" i="1"/>
  <c r="N190" i="1"/>
  <c r="N192" i="1"/>
  <c r="N191" i="1"/>
  <c r="N194" i="1"/>
  <c r="N193" i="1"/>
  <c r="N195" i="1"/>
  <c r="N197" i="1"/>
  <c r="N196" i="1"/>
  <c r="N199" i="1"/>
  <c r="N198" i="1"/>
  <c r="N200" i="1"/>
  <c r="N201" i="1"/>
  <c r="N202" i="1"/>
  <c r="N204" i="1"/>
  <c r="N203" i="1"/>
  <c r="N205" i="1"/>
  <c r="N209" i="1"/>
  <c r="N208" i="1"/>
  <c r="N206" i="1"/>
  <c r="N207" i="1"/>
  <c r="N211" i="1"/>
  <c r="N210" i="1"/>
  <c r="N212" i="1"/>
  <c r="N214" i="1"/>
  <c r="N216" i="1"/>
  <c r="N215" i="1"/>
  <c r="N213" i="1"/>
  <c r="N217" i="1"/>
  <c r="N219" i="1"/>
  <c r="N218" i="1"/>
  <c r="N220" i="1"/>
  <c r="N221" i="1"/>
  <c r="N222" i="1"/>
  <c r="N223" i="1"/>
  <c r="N224" i="1"/>
  <c r="N225" i="1"/>
  <c r="N226" i="1"/>
  <c r="N227" i="1"/>
  <c r="N229" i="1"/>
  <c r="N228" i="1"/>
  <c r="N233" i="1"/>
  <c r="N230" i="1"/>
  <c r="N231" i="1"/>
  <c r="N234" i="1"/>
  <c r="N232" i="1"/>
  <c r="N238" i="1"/>
  <c r="N235" i="1"/>
  <c r="N237" i="1"/>
  <c r="N236" i="1"/>
  <c r="N240" i="1"/>
  <c r="N241" i="1"/>
  <c r="N239" i="1"/>
  <c r="N242" i="1"/>
  <c r="N243" i="1"/>
  <c r="N245" i="1"/>
  <c r="N244" i="1"/>
  <c r="N246" i="1"/>
  <c r="N247" i="1"/>
  <c r="N249" i="1"/>
  <c r="N250" i="1"/>
  <c r="N248" i="1"/>
  <c r="N253" i="1"/>
  <c r="N254" i="1"/>
  <c r="N252" i="1"/>
  <c r="N251" i="1"/>
  <c r="N256" i="1"/>
  <c r="N257" i="1"/>
  <c r="N255" i="1"/>
  <c r="N262" i="1"/>
  <c r="N259" i="1"/>
  <c r="N261" i="1"/>
  <c r="N258" i="1"/>
  <c r="N260" i="1"/>
  <c r="N265" i="1"/>
  <c r="N264" i="1"/>
  <c r="N263" i="1"/>
  <c r="N268" i="1"/>
  <c r="N266" i="1"/>
  <c r="N267" i="1"/>
  <c r="N269" i="1"/>
  <c r="N270" i="1"/>
  <c r="N271" i="1"/>
  <c r="N274" i="1"/>
  <c r="N276" i="1"/>
  <c r="N272" i="1"/>
  <c r="N275" i="1"/>
  <c r="N273" i="1"/>
  <c r="N280" i="1"/>
  <c r="N278" i="1"/>
  <c r="N281" i="1"/>
  <c r="N279" i="1"/>
  <c r="N277" i="1"/>
  <c r="N286" i="1"/>
  <c r="N285" i="1"/>
  <c r="N284" i="1"/>
  <c r="N282" i="1"/>
  <c r="N283" i="1"/>
  <c r="N287" i="1"/>
  <c r="N288" i="1"/>
  <c r="N289" i="1"/>
  <c r="N292" i="1"/>
  <c r="N291" i="1"/>
  <c r="N290" i="1"/>
  <c r="N293" i="1"/>
  <c r="N294" i="1"/>
  <c r="N295" i="1"/>
  <c r="N297" i="1"/>
  <c r="N296" i="1"/>
  <c r="N298" i="1"/>
  <c r="N300" i="1"/>
  <c r="N301" i="1"/>
  <c r="N302" i="1"/>
  <c r="N299" i="1"/>
  <c r="N307" i="1"/>
  <c r="N305" i="1"/>
  <c r="N306" i="1"/>
  <c r="N303" i="1"/>
  <c r="N304" i="1"/>
  <c r="N309" i="1"/>
  <c r="N308" i="1"/>
  <c r="N310" i="1"/>
  <c r="N311" i="1"/>
  <c r="N312" i="1"/>
  <c r="N313" i="1"/>
  <c r="N314" i="1"/>
  <c r="N317" i="1"/>
  <c r="N316" i="1"/>
  <c r="N315" i="1"/>
  <c r="N320" i="1"/>
  <c r="N319" i="1"/>
  <c r="N318" i="1"/>
  <c r="N324" i="1"/>
  <c r="N323" i="1"/>
  <c r="N322" i="1"/>
  <c r="N321" i="1"/>
  <c r="N326" i="1"/>
  <c r="N325" i="1"/>
  <c r="N327" i="1"/>
  <c r="N328" i="1"/>
  <c r="N333" i="1"/>
  <c r="N330" i="1"/>
  <c r="N331" i="1"/>
  <c r="N332" i="1"/>
  <c r="N329" i="1"/>
  <c r="N335" i="1"/>
  <c r="N334" i="1"/>
  <c r="N340" i="1"/>
  <c r="N336" i="1"/>
  <c r="N338" i="1"/>
  <c r="N339" i="1"/>
  <c r="N337" i="1"/>
  <c r="N344" i="1"/>
  <c r="N341" i="1"/>
  <c r="N343" i="1"/>
  <c r="N342" i="1"/>
  <c r="N345" i="1"/>
  <c r="N349" i="1"/>
  <c r="N348" i="1"/>
  <c r="N346" i="1"/>
  <c r="N347" i="1"/>
  <c r="N350" i="1"/>
  <c r="N351" i="1"/>
  <c r="N353" i="1"/>
  <c r="N354" i="1"/>
  <c r="N355" i="1"/>
  <c r="N352" i="1"/>
  <c r="N356" i="1"/>
  <c r="N366" i="1"/>
  <c r="N364" i="1"/>
  <c r="N360" i="1"/>
  <c r="N357" i="1"/>
  <c r="N367" i="1"/>
  <c r="N363" i="1"/>
  <c r="N362" i="1"/>
  <c r="N361" i="1"/>
  <c r="N358" i="1"/>
  <c r="N365" i="1"/>
  <c r="N359" i="1"/>
  <c r="N373" i="1"/>
  <c r="N372" i="1"/>
  <c r="N371" i="1"/>
  <c r="N369" i="1"/>
  <c r="N370" i="1"/>
  <c r="N368" i="1"/>
  <c r="N374" i="1"/>
  <c r="N375" i="1"/>
  <c r="N376" i="1"/>
  <c r="N379" i="1"/>
  <c r="N383" i="1"/>
  <c r="N380" i="1"/>
  <c r="N378" i="1"/>
  <c r="N382" i="1"/>
  <c r="N377" i="1"/>
  <c r="N381" i="1"/>
  <c r="N390" i="1"/>
  <c r="N387" i="1"/>
  <c r="N388" i="1"/>
  <c r="N384" i="1"/>
  <c r="N389" i="1"/>
  <c r="N386" i="1"/>
  <c r="N385" i="1"/>
  <c r="N397" i="1"/>
  <c r="N393" i="1"/>
  <c r="N398" i="1"/>
  <c r="N396" i="1"/>
  <c r="N392" i="1"/>
  <c r="N395" i="1"/>
  <c r="N394" i="1"/>
  <c r="N391" i="1"/>
  <c r="N399" i="1"/>
  <c r="N402" i="1"/>
  <c r="N401" i="1"/>
  <c r="N400" i="1"/>
  <c r="N403" i="1"/>
  <c r="N405" i="1"/>
  <c r="N404" i="1"/>
  <c r="N406" i="1"/>
  <c r="N407" i="1"/>
  <c r="N408" i="1"/>
  <c r="N409" i="1"/>
  <c r="N413" i="1"/>
  <c r="N414" i="1"/>
  <c r="N412" i="1"/>
  <c r="N410" i="1"/>
  <c r="N415" i="1"/>
  <c r="N411" i="1"/>
  <c r="N418" i="1"/>
  <c r="N417" i="1"/>
  <c r="N421" i="1"/>
  <c r="N423" i="1"/>
  <c r="N419" i="1"/>
  <c r="N422" i="1"/>
  <c r="N420" i="1"/>
  <c r="N416" i="1"/>
  <c r="N429" i="1"/>
  <c r="N424" i="1"/>
  <c r="N428" i="1"/>
  <c r="N427" i="1"/>
  <c r="N433" i="1"/>
  <c r="N425" i="1"/>
  <c r="N426" i="1"/>
  <c r="N432" i="1"/>
  <c r="N430" i="1"/>
  <c r="N431" i="1"/>
  <c r="N434" i="1"/>
  <c r="N436" i="1"/>
  <c r="N435" i="1"/>
  <c r="N437" i="1"/>
  <c r="N438" i="1"/>
  <c r="N440" i="1"/>
  <c r="N442" i="1"/>
  <c r="N441" i="1"/>
  <c r="N439" i="1"/>
  <c r="N444" i="1"/>
  <c r="N445" i="1"/>
  <c r="N443" i="1"/>
  <c r="N449" i="1"/>
  <c r="N446" i="1"/>
  <c r="N447" i="1"/>
  <c r="N448" i="1"/>
  <c r="N453" i="1"/>
  <c r="N452" i="1"/>
  <c r="N451" i="1"/>
  <c r="N450" i="1"/>
  <c r="N454" i="1"/>
  <c r="N456" i="1"/>
  <c r="N455" i="1"/>
  <c r="N457" i="1"/>
  <c r="N459" i="1"/>
  <c r="N458" i="1"/>
  <c r="N460" i="1"/>
  <c r="N461" i="1"/>
  <c r="N462" i="1"/>
  <c r="N463" i="1"/>
  <c r="N466" i="1"/>
  <c r="N464" i="1"/>
  <c r="N468" i="1"/>
  <c r="N469" i="1"/>
  <c r="N465" i="1"/>
  <c r="N470" i="1"/>
  <c r="N467" i="1"/>
  <c r="N472" i="1"/>
  <c r="N473" i="1"/>
  <c r="N471" i="1"/>
  <c r="N474" i="1"/>
  <c r="N475" i="1"/>
  <c r="N476" i="1"/>
  <c r="N480" i="1"/>
  <c r="N482" i="1"/>
  <c r="N478" i="1"/>
  <c r="N477" i="1"/>
  <c r="N479" i="1"/>
  <c r="N481" i="1"/>
  <c r="N485" i="1"/>
  <c r="N483" i="1"/>
  <c r="N487" i="1"/>
  <c r="N488" i="1"/>
  <c r="N489" i="1"/>
  <c r="N484" i="1"/>
  <c r="N486" i="1"/>
  <c r="N492" i="1"/>
  <c r="N490" i="1"/>
  <c r="N493" i="1"/>
  <c r="N491" i="1"/>
  <c r="N494" i="1"/>
  <c r="N495" i="1"/>
  <c r="N496" i="1"/>
  <c r="N498" i="1"/>
  <c r="N497" i="1"/>
  <c r="N500" i="1"/>
  <c r="N499" i="1"/>
  <c r="N504" i="1"/>
  <c r="N502" i="1"/>
  <c r="N503" i="1"/>
  <c r="N505" i="1"/>
  <c r="N506" i="1"/>
  <c r="N501" i="1"/>
  <c r="N507" i="1"/>
  <c r="N508" i="1"/>
  <c r="N509" i="1"/>
  <c r="N511" i="1"/>
  <c r="N510" i="1"/>
  <c r="N513" i="1"/>
  <c r="N514" i="1"/>
  <c r="N512" i="1"/>
  <c r="N523" i="1"/>
  <c r="N520" i="1"/>
  <c r="N521" i="1"/>
  <c r="N522" i="1"/>
  <c r="N517" i="1"/>
  <c r="N519" i="1"/>
  <c r="N515" i="1"/>
  <c r="N516" i="1"/>
  <c r="N518" i="1"/>
  <c r="N525" i="1"/>
  <c r="N524" i="1"/>
  <c r="N526" i="1"/>
  <c r="N529" i="1"/>
  <c r="N528" i="1"/>
  <c r="N527" i="1"/>
  <c r="N530" i="1"/>
  <c r="N532" i="1"/>
  <c r="N531" i="1"/>
  <c r="N533" i="1"/>
  <c r="N534" i="1"/>
  <c r="N535" i="1"/>
  <c r="N536" i="1"/>
  <c r="N538" i="1"/>
  <c r="N540" i="1"/>
  <c r="N537" i="1"/>
  <c r="N539" i="1"/>
  <c r="N541" i="1"/>
  <c r="N542" i="1"/>
  <c r="N546" i="1"/>
  <c r="N544" i="1"/>
  <c r="N543" i="1"/>
  <c r="N545" i="1"/>
  <c r="N548" i="1"/>
  <c r="N547" i="1"/>
  <c r="N552" i="1"/>
  <c r="N551" i="1"/>
  <c r="N553" i="1"/>
  <c r="N549" i="1"/>
  <c r="N550" i="1"/>
  <c r="N554" i="1"/>
  <c r="N555" i="1"/>
  <c r="N557" i="1"/>
  <c r="N559" i="1"/>
  <c r="N560" i="1"/>
  <c r="N558" i="1"/>
  <c r="N561" i="1"/>
  <c r="N556" i="1"/>
  <c r="N562" i="1"/>
  <c r="N563" i="1"/>
  <c r="N566" i="1"/>
  <c r="N564" i="1"/>
  <c r="N565" i="1"/>
  <c r="N567" i="1"/>
  <c r="N2" i="1"/>
  <c r="E3" i="1"/>
  <c r="E4" i="1"/>
  <c r="E5" i="1"/>
  <c r="E6" i="1"/>
  <c r="E7" i="1"/>
  <c r="E8" i="1"/>
  <c r="E9" i="1"/>
  <c r="E10" i="1"/>
  <c r="E11" i="1"/>
  <c r="E12" i="1"/>
  <c r="E13" i="1"/>
  <c r="E14" i="1"/>
  <c r="E16" i="1"/>
  <c r="E15" i="1"/>
  <c r="E17" i="1"/>
  <c r="E18" i="1"/>
  <c r="E20" i="1"/>
  <c r="E19" i="1"/>
  <c r="E21" i="1"/>
  <c r="E22" i="1"/>
  <c r="E23" i="1"/>
  <c r="E24" i="1"/>
  <c r="E25" i="1"/>
  <c r="E26" i="1"/>
  <c r="E27" i="1"/>
  <c r="E28" i="1"/>
  <c r="E29" i="1"/>
  <c r="E30" i="1"/>
  <c r="E31" i="1"/>
  <c r="E32" i="1"/>
  <c r="E34" i="1"/>
  <c r="E33" i="1"/>
  <c r="E35" i="1"/>
  <c r="E36" i="1"/>
  <c r="E37" i="1"/>
  <c r="E38" i="1"/>
  <c r="E39" i="1"/>
  <c r="E40" i="1"/>
  <c r="E41" i="1"/>
  <c r="E42" i="1"/>
  <c r="E43" i="1"/>
  <c r="E46" i="1"/>
  <c r="E45" i="1"/>
  <c r="E47" i="1"/>
  <c r="E44" i="1"/>
  <c r="E48" i="1"/>
  <c r="E49" i="1"/>
  <c r="E51" i="1"/>
  <c r="E50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9" i="1"/>
  <c r="E78" i="1"/>
  <c r="E81" i="1"/>
  <c r="E80" i="1"/>
  <c r="E83" i="1"/>
  <c r="E82" i="1"/>
  <c r="E84" i="1"/>
  <c r="E87" i="1"/>
  <c r="E85" i="1"/>
  <c r="E86" i="1"/>
  <c r="E88" i="1"/>
  <c r="E89" i="1"/>
  <c r="E90" i="1"/>
  <c r="E91" i="1"/>
  <c r="E92" i="1"/>
  <c r="E95" i="1"/>
  <c r="E94" i="1"/>
  <c r="E96" i="1"/>
  <c r="E93" i="1"/>
  <c r="E98" i="1"/>
  <c r="E97" i="1"/>
  <c r="E99" i="1"/>
  <c r="E100" i="1"/>
  <c r="E101" i="1"/>
  <c r="E102" i="1"/>
  <c r="E103" i="1"/>
  <c r="E105" i="1"/>
  <c r="E106" i="1"/>
  <c r="E104" i="1"/>
  <c r="E107" i="1"/>
  <c r="E108" i="1"/>
  <c r="E109" i="1"/>
  <c r="E110" i="1"/>
  <c r="E111" i="1"/>
  <c r="E112" i="1"/>
  <c r="E114" i="1"/>
  <c r="E113" i="1"/>
  <c r="E115" i="1"/>
  <c r="E117" i="1"/>
  <c r="E116" i="1"/>
  <c r="E118" i="1"/>
  <c r="E119" i="1"/>
  <c r="E120" i="1"/>
  <c r="E123" i="1"/>
  <c r="E122" i="1"/>
  <c r="E124" i="1"/>
  <c r="E121" i="1"/>
  <c r="E125" i="1"/>
  <c r="E126" i="1"/>
  <c r="E127" i="1"/>
  <c r="E130" i="1"/>
  <c r="E129" i="1"/>
  <c r="E131" i="1"/>
  <c r="E128" i="1"/>
  <c r="E133" i="1"/>
  <c r="E132" i="1"/>
  <c r="E136" i="1"/>
  <c r="E135" i="1"/>
  <c r="E134" i="1"/>
  <c r="E137" i="1"/>
  <c r="E138" i="1"/>
  <c r="E139" i="1"/>
  <c r="E140" i="1"/>
  <c r="E141" i="1"/>
  <c r="E142" i="1"/>
  <c r="E143" i="1"/>
  <c r="E145" i="1"/>
  <c r="E146" i="1"/>
  <c r="E144" i="1"/>
  <c r="E148" i="1"/>
  <c r="E147" i="1"/>
  <c r="E149" i="1"/>
  <c r="E150" i="1"/>
  <c r="E151" i="1"/>
  <c r="E152" i="1"/>
  <c r="E155" i="1"/>
  <c r="E153" i="1"/>
  <c r="E156" i="1"/>
  <c r="E154" i="1"/>
  <c r="E158" i="1"/>
  <c r="E157" i="1"/>
  <c r="E160" i="1"/>
  <c r="E159" i="1"/>
  <c r="E161" i="1"/>
  <c r="E162" i="1"/>
  <c r="E164" i="1"/>
  <c r="E165" i="1"/>
  <c r="E163" i="1"/>
  <c r="E167" i="1"/>
  <c r="E166" i="1"/>
  <c r="E168" i="1"/>
  <c r="E169" i="1"/>
  <c r="E174" i="1"/>
  <c r="E171" i="1"/>
  <c r="E173" i="1"/>
  <c r="E170" i="1"/>
  <c r="E172" i="1"/>
  <c r="E175" i="1"/>
  <c r="E176" i="1"/>
  <c r="E177" i="1"/>
  <c r="E178" i="1"/>
  <c r="E180" i="1"/>
  <c r="E179" i="1"/>
  <c r="E182" i="1"/>
  <c r="E181" i="1"/>
  <c r="E185" i="1"/>
  <c r="E183" i="1"/>
  <c r="E186" i="1"/>
  <c r="E184" i="1"/>
  <c r="E187" i="1"/>
  <c r="E188" i="1"/>
  <c r="E189" i="1"/>
  <c r="E190" i="1"/>
  <c r="E192" i="1"/>
  <c r="E191" i="1"/>
  <c r="E194" i="1"/>
  <c r="E193" i="1"/>
  <c r="E195" i="1"/>
  <c r="E197" i="1"/>
  <c r="E196" i="1"/>
  <c r="E199" i="1"/>
  <c r="E198" i="1"/>
  <c r="E200" i="1"/>
  <c r="E201" i="1"/>
  <c r="E202" i="1"/>
  <c r="E204" i="1"/>
  <c r="E203" i="1"/>
  <c r="E205" i="1"/>
  <c r="E209" i="1"/>
  <c r="E208" i="1"/>
  <c r="E206" i="1"/>
  <c r="E207" i="1"/>
  <c r="E211" i="1"/>
  <c r="E210" i="1"/>
  <c r="E212" i="1"/>
  <c r="E214" i="1"/>
  <c r="E216" i="1"/>
  <c r="E215" i="1"/>
  <c r="E213" i="1"/>
  <c r="E217" i="1"/>
  <c r="E219" i="1"/>
  <c r="E218" i="1"/>
  <c r="E220" i="1"/>
  <c r="E221" i="1"/>
  <c r="E222" i="1"/>
  <c r="E223" i="1"/>
  <c r="E224" i="1"/>
  <c r="E225" i="1"/>
  <c r="E226" i="1"/>
  <c r="E227" i="1"/>
  <c r="E229" i="1"/>
  <c r="E228" i="1"/>
  <c r="E233" i="1"/>
  <c r="E230" i="1"/>
  <c r="E231" i="1"/>
  <c r="E234" i="1"/>
  <c r="E232" i="1"/>
  <c r="E238" i="1"/>
  <c r="E235" i="1"/>
  <c r="E237" i="1"/>
  <c r="E236" i="1"/>
  <c r="E240" i="1"/>
  <c r="E241" i="1"/>
  <c r="E239" i="1"/>
  <c r="E242" i="1"/>
  <c r="E243" i="1"/>
  <c r="E245" i="1"/>
  <c r="E244" i="1"/>
  <c r="E246" i="1"/>
  <c r="E247" i="1"/>
  <c r="E249" i="1"/>
  <c r="E250" i="1"/>
  <c r="E248" i="1"/>
  <c r="E253" i="1"/>
  <c r="E254" i="1"/>
  <c r="E252" i="1"/>
  <c r="E251" i="1"/>
  <c r="E256" i="1"/>
  <c r="E257" i="1"/>
  <c r="E255" i="1"/>
  <c r="E262" i="1"/>
  <c r="E259" i="1"/>
  <c r="E261" i="1"/>
  <c r="E258" i="1"/>
  <c r="E260" i="1"/>
  <c r="E265" i="1"/>
  <c r="E264" i="1"/>
  <c r="E263" i="1"/>
  <c r="E268" i="1"/>
  <c r="E266" i="1"/>
  <c r="E267" i="1"/>
  <c r="E269" i="1"/>
  <c r="E270" i="1"/>
  <c r="E271" i="1"/>
  <c r="E274" i="1"/>
  <c r="E276" i="1"/>
  <c r="E272" i="1"/>
  <c r="E275" i="1"/>
  <c r="E273" i="1"/>
  <c r="E280" i="1"/>
  <c r="E278" i="1"/>
  <c r="E281" i="1"/>
  <c r="E279" i="1"/>
  <c r="E277" i="1"/>
  <c r="E286" i="1"/>
  <c r="E285" i="1"/>
  <c r="E284" i="1"/>
  <c r="E282" i="1"/>
  <c r="E283" i="1"/>
  <c r="E287" i="1"/>
  <c r="E288" i="1"/>
  <c r="E289" i="1"/>
  <c r="E292" i="1"/>
  <c r="E291" i="1"/>
  <c r="E290" i="1"/>
  <c r="E293" i="1"/>
  <c r="E294" i="1"/>
  <c r="E295" i="1"/>
  <c r="E297" i="1"/>
  <c r="E296" i="1"/>
  <c r="E298" i="1"/>
  <c r="E300" i="1"/>
  <c r="E301" i="1"/>
  <c r="E302" i="1"/>
  <c r="E299" i="1"/>
  <c r="E307" i="1"/>
  <c r="E305" i="1"/>
  <c r="E306" i="1"/>
  <c r="E303" i="1"/>
  <c r="E304" i="1"/>
  <c r="E309" i="1"/>
  <c r="E308" i="1"/>
  <c r="E310" i="1"/>
  <c r="E311" i="1"/>
  <c r="E312" i="1"/>
  <c r="E313" i="1"/>
  <c r="E314" i="1"/>
  <c r="E317" i="1"/>
  <c r="E316" i="1"/>
  <c r="E315" i="1"/>
  <c r="E320" i="1"/>
  <c r="E319" i="1"/>
  <c r="E318" i="1"/>
  <c r="E324" i="1"/>
  <c r="E323" i="1"/>
  <c r="E322" i="1"/>
  <c r="E321" i="1"/>
  <c r="E326" i="1"/>
  <c r="E325" i="1"/>
  <c r="E327" i="1"/>
  <c r="E328" i="1"/>
  <c r="E333" i="1"/>
  <c r="E330" i="1"/>
  <c r="E331" i="1"/>
  <c r="E332" i="1"/>
  <c r="E329" i="1"/>
  <c r="E335" i="1"/>
  <c r="E334" i="1"/>
  <c r="E340" i="1"/>
  <c r="E336" i="1"/>
  <c r="E338" i="1"/>
  <c r="E339" i="1"/>
  <c r="E337" i="1"/>
  <c r="E344" i="1"/>
  <c r="E341" i="1"/>
  <c r="E343" i="1"/>
  <c r="E342" i="1"/>
  <c r="E345" i="1"/>
  <c r="E349" i="1"/>
  <c r="E348" i="1"/>
  <c r="E346" i="1"/>
  <c r="E347" i="1"/>
  <c r="E350" i="1"/>
  <c r="E351" i="1"/>
  <c r="E353" i="1"/>
  <c r="E354" i="1"/>
  <c r="E355" i="1"/>
  <c r="E352" i="1"/>
  <c r="E356" i="1"/>
  <c r="E366" i="1"/>
  <c r="E364" i="1"/>
  <c r="E360" i="1"/>
  <c r="E357" i="1"/>
  <c r="E367" i="1"/>
  <c r="E363" i="1"/>
  <c r="E362" i="1"/>
  <c r="E361" i="1"/>
  <c r="E358" i="1"/>
  <c r="E365" i="1"/>
  <c r="E359" i="1"/>
  <c r="E373" i="1"/>
  <c r="E372" i="1"/>
  <c r="E371" i="1"/>
  <c r="E369" i="1"/>
  <c r="E370" i="1"/>
  <c r="E368" i="1"/>
  <c r="E374" i="1"/>
  <c r="E375" i="1"/>
  <c r="E376" i="1"/>
  <c r="E379" i="1"/>
  <c r="E383" i="1"/>
  <c r="E380" i="1"/>
  <c r="E378" i="1"/>
  <c r="E382" i="1"/>
  <c r="E377" i="1"/>
  <c r="E381" i="1"/>
  <c r="E390" i="1"/>
  <c r="E387" i="1"/>
  <c r="E388" i="1"/>
  <c r="E384" i="1"/>
  <c r="E389" i="1"/>
  <c r="E386" i="1"/>
  <c r="E385" i="1"/>
  <c r="E397" i="1"/>
  <c r="E393" i="1"/>
  <c r="E398" i="1"/>
  <c r="E396" i="1"/>
  <c r="E392" i="1"/>
  <c r="E395" i="1"/>
  <c r="E394" i="1"/>
  <c r="E391" i="1"/>
  <c r="E399" i="1"/>
  <c r="E402" i="1"/>
  <c r="E401" i="1"/>
  <c r="E400" i="1"/>
  <c r="E403" i="1"/>
  <c r="E405" i="1"/>
  <c r="E404" i="1"/>
  <c r="E406" i="1"/>
  <c r="E407" i="1"/>
  <c r="E408" i="1"/>
  <c r="E409" i="1"/>
  <c r="E413" i="1"/>
  <c r="E414" i="1"/>
  <c r="E412" i="1"/>
  <c r="E410" i="1"/>
  <c r="E415" i="1"/>
  <c r="E411" i="1"/>
  <c r="E418" i="1"/>
  <c r="E417" i="1"/>
  <c r="E421" i="1"/>
  <c r="E423" i="1"/>
  <c r="E419" i="1"/>
  <c r="E422" i="1"/>
  <c r="E420" i="1"/>
  <c r="E416" i="1"/>
  <c r="E429" i="1"/>
  <c r="E424" i="1"/>
  <c r="E428" i="1"/>
  <c r="E427" i="1"/>
  <c r="E433" i="1"/>
  <c r="E425" i="1"/>
  <c r="E426" i="1"/>
  <c r="E432" i="1"/>
  <c r="E430" i="1"/>
  <c r="E431" i="1"/>
  <c r="E434" i="1"/>
  <c r="E436" i="1"/>
  <c r="E435" i="1"/>
  <c r="E437" i="1"/>
  <c r="E438" i="1"/>
  <c r="E440" i="1"/>
  <c r="E442" i="1"/>
  <c r="E441" i="1"/>
  <c r="E439" i="1"/>
  <c r="E444" i="1"/>
  <c r="E445" i="1"/>
  <c r="E443" i="1"/>
  <c r="E449" i="1"/>
  <c r="E446" i="1"/>
  <c r="E447" i="1"/>
  <c r="E448" i="1"/>
  <c r="E453" i="1"/>
  <c r="E452" i="1"/>
  <c r="E451" i="1"/>
  <c r="E450" i="1"/>
  <c r="E454" i="1"/>
  <c r="E456" i="1"/>
  <c r="E455" i="1"/>
  <c r="E457" i="1"/>
  <c r="E459" i="1"/>
  <c r="E458" i="1"/>
  <c r="E460" i="1"/>
  <c r="E461" i="1"/>
  <c r="E462" i="1"/>
  <c r="E463" i="1"/>
  <c r="E466" i="1"/>
  <c r="E464" i="1"/>
  <c r="E468" i="1"/>
  <c r="E469" i="1"/>
  <c r="E465" i="1"/>
  <c r="E470" i="1"/>
  <c r="E467" i="1"/>
  <c r="E472" i="1"/>
  <c r="E473" i="1"/>
  <c r="E471" i="1"/>
  <c r="E474" i="1"/>
  <c r="E475" i="1"/>
  <c r="E476" i="1"/>
  <c r="E480" i="1"/>
  <c r="E482" i="1"/>
  <c r="E478" i="1"/>
  <c r="E477" i="1"/>
  <c r="E479" i="1"/>
  <c r="E481" i="1"/>
  <c r="E485" i="1"/>
  <c r="E483" i="1"/>
  <c r="E487" i="1"/>
  <c r="E488" i="1"/>
  <c r="E489" i="1"/>
  <c r="E484" i="1"/>
  <c r="E486" i="1"/>
  <c r="E492" i="1"/>
  <c r="E490" i="1"/>
  <c r="E493" i="1"/>
  <c r="E491" i="1"/>
  <c r="E494" i="1"/>
  <c r="E495" i="1"/>
  <c r="E496" i="1"/>
  <c r="E498" i="1"/>
  <c r="E497" i="1"/>
  <c r="E500" i="1"/>
  <c r="E499" i="1"/>
  <c r="E504" i="1"/>
  <c r="E502" i="1"/>
  <c r="E503" i="1"/>
  <c r="E505" i="1"/>
  <c r="E506" i="1"/>
  <c r="E501" i="1"/>
  <c r="E507" i="1"/>
  <c r="E508" i="1"/>
  <c r="E509" i="1"/>
  <c r="E511" i="1"/>
  <c r="E510" i="1"/>
  <c r="E513" i="1"/>
  <c r="E514" i="1"/>
  <c r="E512" i="1"/>
  <c r="E523" i="1"/>
  <c r="E520" i="1"/>
  <c r="E521" i="1"/>
  <c r="E522" i="1"/>
  <c r="E517" i="1"/>
  <c r="E519" i="1"/>
  <c r="E515" i="1"/>
  <c r="E516" i="1"/>
  <c r="E518" i="1"/>
  <c r="E525" i="1"/>
  <c r="E524" i="1"/>
  <c r="E526" i="1"/>
  <c r="E529" i="1"/>
  <c r="E528" i="1"/>
  <c r="E527" i="1"/>
  <c r="E530" i="1"/>
  <c r="E532" i="1"/>
  <c r="E531" i="1"/>
  <c r="E533" i="1"/>
  <c r="E534" i="1"/>
  <c r="E535" i="1"/>
  <c r="E536" i="1"/>
  <c r="E538" i="1"/>
  <c r="E540" i="1"/>
  <c r="E537" i="1"/>
  <c r="E539" i="1"/>
  <c r="E541" i="1"/>
  <c r="E542" i="1"/>
  <c r="E546" i="1"/>
  <c r="E544" i="1"/>
  <c r="E543" i="1"/>
  <c r="E545" i="1"/>
  <c r="E548" i="1"/>
  <c r="E547" i="1"/>
  <c r="E552" i="1"/>
  <c r="E551" i="1"/>
  <c r="E553" i="1"/>
  <c r="E549" i="1"/>
  <c r="E550" i="1"/>
  <c r="E554" i="1"/>
  <c r="E555" i="1"/>
  <c r="E557" i="1"/>
  <c r="E559" i="1"/>
  <c r="E560" i="1"/>
  <c r="E558" i="1"/>
  <c r="E561" i="1"/>
  <c r="E556" i="1"/>
  <c r="E562" i="1"/>
  <c r="E563" i="1"/>
  <c r="E566" i="1"/>
  <c r="E564" i="1"/>
  <c r="E565" i="1"/>
  <c r="E567" i="1"/>
</calcChain>
</file>

<file path=xl/sharedStrings.xml><?xml version="1.0" encoding="utf-8"?>
<sst xmlns="http://schemas.openxmlformats.org/spreadsheetml/2006/main" count="2603" uniqueCount="687">
  <si>
    <t>player</t>
  </si>
  <si>
    <t>conference</t>
  </si>
  <si>
    <t>east = 1</t>
  </si>
  <si>
    <t>position_group</t>
  </si>
  <si>
    <t>guard</t>
  </si>
  <si>
    <t>foward</t>
  </si>
  <si>
    <t>age</t>
  </si>
  <si>
    <t>games_played</t>
  </si>
  <si>
    <t>minutes_per_game</t>
  </si>
  <si>
    <t>rebounds_per_game</t>
  </si>
  <si>
    <t>assists_per_game</t>
  </si>
  <si>
    <t>points_per_game</t>
  </si>
  <si>
    <t>salary_filled</t>
  </si>
  <si>
    <t>born US</t>
  </si>
  <si>
    <t>born</t>
  </si>
  <si>
    <t>Luka Dončić</t>
  </si>
  <si>
    <t>West</t>
  </si>
  <si>
    <t>Guard</t>
  </si>
  <si>
    <t>INT</t>
  </si>
  <si>
    <t>Shai Gilgeous-Alexander</t>
  </si>
  <si>
    <t>Anthony Edwards</t>
  </si>
  <si>
    <t>US</t>
  </si>
  <si>
    <t>Jaylen Brown</t>
  </si>
  <si>
    <t>East</t>
  </si>
  <si>
    <t>Forward</t>
  </si>
  <si>
    <t>Tyrese Maxey</t>
  </si>
  <si>
    <t>Kawhi Leonard</t>
  </si>
  <si>
    <t>Donovan Mitchell</t>
  </si>
  <si>
    <t>Nikola Jokić</t>
  </si>
  <si>
    <t>Center</t>
  </si>
  <si>
    <t>Giannis Antetokounmpo</t>
  </si>
  <si>
    <t>Joel Embiid</t>
  </si>
  <si>
    <t>Lauri Markkanen</t>
  </si>
  <si>
    <t>Stephen Curry</t>
  </si>
  <si>
    <t>Devin Booker</t>
  </si>
  <si>
    <t>Kevin Durant</t>
  </si>
  <si>
    <t>Jalen Brunson</t>
  </si>
  <si>
    <t>Jamal Murray</t>
  </si>
  <si>
    <t>Victor Wembanyama</t>
  </si>
  <si>
    <t>Michael Porter Jr.</t>
  </si>
  <si>
    <t>Deni Avdija</t>
  </si>
  <si>
    <t>Pascal Siakam</t>
  </si>
  <si>
    <t>Cade Cunningham</t>
  </si>
  <si>
    <t>James Harden</t>
  </si>
  <si>
    <t>Keyonte George</t>
  </si>
  <si>
    <t>Austin Reaves</t>
  </si>
  <si>
    <t>Jalen Johnson</t>
  </si>
  <si>
    <t>Paolo Banchero</t>
  </si>
  <si>
    <t>Jayson Tatum</t>
  </si>
  <si>
    <t>Norman Powell</t>
  </si>
  <si>
    <t>Brandon Ingram</t>
  </si>
  <si>
    <t>Trey Murphy III</t>
  </si>
  <si>
    <t>Julius Randle</t>
  </si>
  <si>
    <t>Zion Williamson</t>
  </si>
  <si>
    <t>Cooper Flagg</t>
  </si>
  <si>
    <t>LeBron James</t>
  </si>
  <si>
    <t>Nickeil Alexander-Walker</t>
  </si>
  <si>
    <t>Shaedon Sharpe</t>
  </si>
  <si>
    <t>Franz Wagner</t>
  </si>
  <si>
    <t>Tyler Herro</t>
  </si>
  <si>
    <t>Anthony Davis</t>
  </si>
  <si>
    <t>Alperen Şengün</t>
  </si>
  <si>
    <t>Dillon Brooks</t>
  </si>
  <si>
    <t>Brandon Miller</t>
  </si>
  <si>
    <t>Karl-Anthony Towns</t>
  </si>
  <si>
    <t>LaMelo Ball</t>
  </si>
  <si>
    <t>Bam Adebayo</t>
  </si>
  <si>
    <t>Desmond Bane</t>
  </si>
  <si>
    <t>Jimmy Butler</t>
  </si>
  <si>
    <t>Ty Jerome</t>
  </si>
  <si>
    <t>Ja Morant</t>
  </si>
  <si>
    <t>Jalen Duren</t>
  </si>
  <si>
    <t>Jaren Jackson Jr.</t>
  </si>
  <si>
    <t>RJ Barrett</t>
  </si>
  <si>
    <t>Zach LaVine</t>
  </si>
  <si>
    <t>Darius Garland</t>
  </si>
  <si>
    <t>CJ McCollum</t>
  </si>
  <si>
    <t>De'Aaron Fox</t>
  </si>
  <si>
    <t>Jerami Grant</t>
  </si>
  <si>
    <t>Kon Knueppel</t>
  </si>
  <si>
    <t>DeMar DeRozan</t>
  </si>
  <si>
    <t>Amen Thompson</t>
  </si>
  <si>
    <t>Evan Mobley</t>
  </si>
  <si>
    <t>Scottie Barnes</t>
  </si>
  <si>
    <t>Trae Young</t>
  </si>
  <si>
    <t>Jalen Green</t>
  </si>
  <si>
    <t>Saddiq Bey</t>
  </si>
  <si>
    <t>Bennedict Mathurin</t>
  </si>
  <si>
    <t>Coby White</t>
  </si>
  <si>
    <t>Kevin Porter Jr.</t>
  </si>
  <si>
    <t>Paul George</t>
  </si>
  <si>
    <t>Ryan Rollins</t>
  </si>
  <si>
    <t>Miles Bridges</t>
  </si>
  <si>
    <t>Chet Holmgren</t>
  </si>
  <si>
    <t>Jalen Williams</t>
  </si>
  <si>
    <t>Josh Giddey</t>
  </si>
  <si>
    <t>Payton Pritchard</t>
  </si>
  <si>
    <t>Andrew Nembhard</t>
  </si>
  <si>
    <t>OG Anunoby</t>
  </si>
  <si>
    <t>Kristaps Porziņģis</t>
  </si>
  <si>
    <t>Dejounte Murray</t>
  </si>
  <si>
    <t>Stephon Castle</t>
  </si>
  <si>
    <t>Derrick White</t>
  </si>
  <si>
    <t>Grayson Allen</t>
  </si>
  <si>
    <t>Immanuel Quickley</t>
  </si>
  <si>
    <t>Jrue Holiday</t>
  </si>
  <si>
    <t>Alex Sarr</t>
  </si>
  <si>
    <t>Matas Buzelis</t>
  </si>
  <si>
    <t>Dariq Whitehead</t>
  </si>
  <si>
    <t>Aaron Gordon</t>
  </si>
  <si>
    <t>VJ Edgecombe</t>
  </si>
  <si>
    <t>Domantas Sabonis</t>
  </si>
  <si>
    <t>Jabari Smith Jr.</t>
  </si>
  <si>
    <t>Andrew Wiggins</t>
  </si>
  <si>
    <t>Jarrett Allen</t>
  </si>
  <si>
    <t>Collin Sexton</t>
  </si>
  <si>
    <t>Jaime Jaquez Jr.</t>
  </si>
  <si>
    <t>Onyeka Okongwu</t>
  </si>
  <si>
    <t>Naji Marshall</t>
  </si>
  <si>
    <t>Russell Westbrook</t>
  </si>
  <si>
    <t>Nikola Vučević</t>
  </si>
  <si>
    <t>Anthony Black</t>
  </si>
  <si>
    <t>Kennedy Chandler</t>
  </si>
  <si>
    <t>Brice Sensabaugh</t>
  </si>
  <si>
    <t>Jaden McDaniels</t>
  </si>
  <si>
    <t>Ayo Dosunmu</t>
  </si>
  <si>
    <t>Kyshawn George</t>
  </si>
  <si>
    <t>Peyton Watson</t>
  </si>
  <si>
    <t>Mikal Bridges</t>
  </si>
  <si>
    <t>Walker Kessler</t>
  </si>
  <si>
    <t>Anfernee Simons</t>
  </si>
  <si>
    <t>Jeremiah Fears</t>
  </si>
  <si>
    <t>Cormac Ryan</t>
  </si>
  <si>
    <t>P.J. Washington</t>
  </si>
  <si>
    <t>Scoot Henderson</t>
  </si>
  <si>
    <t>Ivica Zubac</t>
  </si>
  <si>
    <t>Kelly Oubre Jr.</t>
  </si>
  <si>
    <t>Tre Jones</t>
  </si>
  <si>
    <t>Santi Aldama</t>
  </si>
  <si>
    <t>Keegan Murray</t>
  </si>
  <si>
    <t>Devin Vassell</t>
  </si>
  <si>
    <t>Jalen Suggs</t>
  </si>
  <si>
    <t>Aaron Nesmith</t>
  </si>
  <si>
    <t>Ace Bailey</t>
  </si>
  <si>
    <t>Brandin Podziemski</t>
  </si>
  <si>
    <t>De'Andre Hunter</t>
  </si>
  <si>
    <t>Bobby Portis</t>
  </si>
  <si>
    <t>John Collins</t>
  </si>
  <si>
    <t>Naz Reid</t>
  </si>
  <si>
    <t>Zach Edey</t>
  </si>
  <si>
    <t>Cedric Coward</t>
  </si>
  <si>
    <t>Ajay Mitchell</t>
  </si>
  <si>
    <t>Reed Sheppard</t>
  </si>
  <si>
    <t>Tim Hardaway Jr.</t>
  </si>
  <si>
    <t>Jordan Poole</t>
  </si>
  <si>
    <t>Quentin Grimes</t>
  </si>
  <si>
    <t>Toumani Camara</t>
  </si>
  <si>
    <t>Tobias Harris</t>
  </si>
  <si>
    <t>Keldon Johnson</t>
  </si>
  <si>
    <t>Jaylon Tyson</t>
  </si>
  <si>
    <t>Kyle Kuzma</t>
  </si>
  <si>
    <t>Brandon Williams</t>
  </si>
  <si>
    <t>Sam Merrill</t>
  </si>
  <si>
    <t>Collin Gillespie</t>
  </si>
  <si>
    <t>Malik Monk</t>
  </si>
  <si>
    <t>Deandre Ayton</t>
  </si>
  <si>
    <t>GG Jackson II</t>
  </si>
  <si>
    <t>Jaylen Wells</t>
  </si>
  <si>
    <t>Maxime Raynaud</t>
  </si>
  <si>
    <t>Max Christie</t>
  </si>
  <si>
    <t>Noah Clowney</t>
  </si>
  <si>
    <t>De'Anthony Melton</t>
  </si>
  <si>
    <t>Jonathan Kuminga</t>
  </si>
  <si>
    <t>Cameron Johnson</t>
  </si>
  <si>
    <t>Duncan Robinson</t>
  </si>
  <si>
    <t>Donte DiVincenzo</t>
  </si>
  <si>
    <t>Tre Johnson</t>
  </si>
  <si>
    <t>Moses Moody</t>
  </si>
  <si>
    <t>Donovan Clingan</t>
  </si>
  <si>
    <t>Josh Hart</t>
  </si>
  <si>
    <t>Christian Braun</t>
  </si>
  <si>
    <t>Miles McBride</t>
  </si>
  <si>
    <t>Tristen Newton</t>
  </si>
  <si>
    <t>Myles Turner</t>
  </si>
  <si>
    <t>Dyson Daniels</t>
  </si>
  <si>
    <t>Blake Hinson</t>
  </si>
  <si>
    <t>Dylan Harper</t>
  </si>
  <si>
    <t>Wendell Carter Jr.</t>
  </si>
  <si>
    <t>Julian Reese</t>
  </si>
  <si>
    <t>Nic Claxton</t>
  </si>
  <si>
    <t>Klay Thompson</t>
  </si>
  <si>
    <t>Bilal Coulibaly</t>
  </si>
  <si>
    <t>Mark Williams</t>
  </si>
  <si>
    <t>Derik Queen</t>
  </si>
  <si>
    <t>Isaiah Collier</t>
  </si>
  <si>
    <t>Obi Toppin</t>
  </si>
  <si>
    <t>Jarace Walker</t>
  </si>
  <si>
    <t>Rui Hachimura</t>
  </si>
  <si>
    <t>Kyle Filipowski</t>
  </si>
  <si>
    <t>Scotty Pippen Jr.</t>
  </si>
  <si>
    <t>Pelle Larsson</t>
  </si>
  <si>
    <t>Max Strus</t>
  </si>
  <si>
    <t>Sandro Mamukelashvili</t>
  </si>
  <si>
    <t>Isaiah Joe</t>
  </si>
  <si>
    <t>Kel'el Ware</t>
  </si>
  <si>
    <t>Julian Champagnie</t>
  </si>
  <si>
    <t>Cam Spencer</t>
  </si>
  <si>
    <t>Alondes Williams</t>
  </si>
  <si>
    <t>Rudy Gobert</t>
  </si>
  <si>
    <t>Jusuf Nurkić</t>
  </si>
  <si>
    <t>Dennis Schröder</t>
  </si>
  <si>
    <t>Daeqwon Plowden</t>
  </si>
  <si>
    <t>Tyler Burton</t>
  </si>
  <si>
    <t>Jakob Poeltl</t>
  </si>
  <si>
    <t>Bub Carrington</t>
  </si>
  <si>
    <t>Jock Landale</t>
  </si>
  <si>
    <t>Tari Eason</t>
  </si>
  <si>
    <t>Marvin Bagley III</t>
  </si>
  <si>
    <t>A.J. Green</t>
  </si>
  <si>
    <t>Adama-Alpha Bal</t>
  </si>
  <si>
    <t>Caleb Love</t>
  </si>
  <si>
    <t>Lucas Williamson</t>
  </si>
  <si>
    <t>Egor Demin</t>
  </si>
  <si>
    <t>Will Riley</t>
  </si>
  <si>
    <t>DaQuan Jeffries</t>
  </si>
  <si>
    <t>Khris Middleton</t>
  </si>
  <si>
    <t>Jalen Smith</t>
  </si>
  <si>
    <t>Ziaire Williams</t>
  </si>
  <si>
    <t>D'Angelo Russell</t>
  </si>
  <si>
    <t>Neemias Queta</t>
  </si>
  <si>
    <t>Derrick Jones Jr.</t>
  </si>
  <si>
    <t>Precious Achiuwa</t>
  </si>
  <si>
    <t>Kevin Huerter</t>
  </si>
  <si>
    <t>Isaiah Stewart</t>
  </si>
  <si>
    <t>Jordan Miller</t>
  </si>
  <si>
    <t>Olivier-Maxence Prosper</t>
  </si>
  <si>
    <t>Toby Okani</t>
  </si>
  <si>
    <t>Harrison Barnes</t>
  </si>
  <si>
    <t>Ausar Thompson</t>
  </si>
  <si>
    <t>Tristan Da Silva</t>
  </si>
  <si>
    <t>Royce O'Neale</t>
  </si>
  <si>
    <t>Zach Collins</t>
  </si>
  <si>
    <t>Micah Potter</t>
  </si>
  <si>
    <t>Javon Small</t>
  </si>
  <si>
    <t>Zaccharie Risacher</t>
  </si>
  <si>
    <t>Daniel Gafford</t>
  </si>
  <si>
    <t>Jay Huff</t>
  </si>
  <si>
    <t>T.J. McConnell</t>
  </si>
  <si>
    <t>Aaron Wiggins</t>
  </si>
  <si>
    <t>Svi Mykhailiuk</t>
  </si>
  <si>
    <t>Davion Mitchell</t>
  </si>
  <si>
    <t>Isaac Okoro</t>
  </si>
  <si>
    <t>Marcus Smart</t>
  </si>
  <si>
    <t>Daniss Jenkins</t>
  </si>
  <si>
    <t>Landry Shamet</t>
  </si>
  <si>
    <t>Isaiah Hartenstein</t>
  </si>
  <si>
    <t>Corey Kispert</t>
  </si>
  <si>
    <t>Sam Hauser</t>
  </si>
  <si>
    <t>Jaden Hardy</t>
  </si>
  <si>
    <t>Cam Whitmore</t>
  </si>
  <si>
    <t>Taurean Prince</t>
  </si>
  <si>
    <t>Gui Santos</t>
  </si>
  <si>
    <t>Quenton Jackson</t>
  </si>
  <si>
    <t>Tristan Vukcevic</t>
  </si>
  <si>
    <t>Herbert Jones</t>
  </si>
  <si>
    <t>Devin Carter</t>
  </si>
  <si>
    <t>Nolan Traoré</t>
  </si>
  <si>
    <t>Danny Wolf</t>
  </si>
  <si>
    <t>Cody Williams</t>
  </si>
  <si>
    <t>John Poulakidas</t>
  </si>
  <si>
    <t>Payton Sandfort</t>
  </si>
  <si>
    <t>Jonas Valančiūnas</t>
  </si>
  <si>
    <t>Day'Ron Sharpe</t>
  </si>
  <si>
    <t>Justin Champagnie</t>
  </si>
  <si>
    <t>Jordan Goodwin</t>
  </si>
  <si>
    <t>Cason Wallace</t>
  </si>
  <si>
    <t>Jordan Clarkson</t>
  </si>
  <si>
    <t>Nique Clifford</t>
  </si>
  <si>
    <t>Brook Lopez</t>
  </si>
  <si>
    <t>Simone Fontecchio</t>
  </si>
  <si>
    <t>Collin Murray-Boyles</t>
  </si>
  <si>
    <t>Bones Hyland</t>
  </si>
  <si>
    <t>Vít Krejčí</t>
  </si>
  <si>
    <t>Draymond Green</t>
  </si>
  <si>
    <t>Kentavious Caldwell-Pope</t>
  </si>
  <si>
    <t>Luke Kennard</t>
  </si>
  <si>
    <t>Luguentz Dort</t>
  </si>
  <si>
    <t>Al Horford</t>
  </si>
  <si>
    <t>Jared McCain</t>
  </si>
  <si>
    <t>Josh Oduro</t>
  </si>
  <si>
    <t>Kadary Richmond</t>
  </si>
  <si>
    <t>Malachi Smith</t>
  </si>
  <si>
    <t>Ron Holland</t>
  </si>
  <si>
    <t>Jake LaRavia</t>
  </si>
  <si>
    <t>Bradley Beal</t>
  </si>
  <si>
    <t>Chaney Johnson</t>
  </si>
  <si>
    <t>LJ Cryer</t>
  </si>
  <si>
    <t>Gary Trent Jr.</t>
  </si>
  <si>
    <t>Luka Garza</t>
  </si>
  <si>
    <t>Bryce McGowens</t>
  </si>
  <si>
    <t>Sharife Cooper</t>
  </si>
  <si>
    <t>Bez Mbeng</t>
  </si>
  <si>
    <t>Tre Scott</t>
  </si>
  <si>
    <t>Nate Williams</t>
  </si>
  <si>
    <t>David Roddy</t>
  </si>
  <si>
    <t>DeJon Jarreau</t>
  </si>
  <si>
    <t>Mouhamadou Gueye</t>
  </si>
  <si>
    <t>Bruce Brown</t>
  </si>
  <si>
    <t>Moussa Diabaté</t>
  </si>
  <si>
    <t>Tyson Etienne</t>
  </si>
  <si>
    <t>Paul Reed</t>
  </si>
  <si>
    <t>Walter Clayton</t>
  </si>
  <si>
    <t>Leonard Miller</t>
  </si>
  <si>
    <t>Oscar Tshiebwe</t>
  </si>
  <si>
    <t>Dominick Barlow</t>
  </si>
  <si>
    <t>Quinten Post</t>
  </si>
  <si>
    <t>Buddy Hield</t>
  </si>
  <si>
    <t>Ousmane Dieng</t>
  </si>
  <si>
    <t>Ryan Kalkbrenner</t>
  </si>
  <si>
    <t>Ja'Kobe Walter</t>
  </si>
  <si>
    <t>Jaxson Hayes</t>
  </si>
  <si>
    <t>Gary Payton II</t>
  </si>
  <si>
    <t>Ben Saraf</t>
  </si>
  <si>
    <t>Bogdan Bogdanović</t>
  </si>
  <si>
    <t>Caris LeVert</t>
  </si>
  <si>
    <t>Taylor Hendricks</t>
  </si>
  <si>
    <t>Jose Alvarado</t>
  </si>
  <si>
    <t>Josh Minott</t>
  </si>
  <si>
    <t>Jamir Watkins</t>
  </si>
  <si>
    <t>Cameron Payne</t>
  </si>
  <si>
    <t>Kris Dunn</t>
  </si>
  <si>
    <t>Nikola Jović</t>
  </si>
  <si>
    <t>Kobe Sanders</t>
  </si>
  <si>
    <t>Jalen Slawson</t>
  </si>
  <si>
    <t>Terance Mann</t>
  </si>
  <si>
    <t>Jaylin Williams</t>
  </si>
  <si>
    <t>Julian Strawther</t>
  </si>
  <si>
    <t>Pat Spencer</t>
  </si>
  <si>
    <t>Ben Sheppard</t>
  </si>
  <si>
    <t>Seth Curry</t>
  </si>
  <si>
    <t>Leaky Black</t>
  </si>
  <si>
    <t>Patrick Williams</t>
  </si>
  <si>
    <t>Grant Williams</t>
  </si>
  <si>
    <t>Ethan Thompson</t>
  </si>
  <si>
    <t>Lawson Lovering</t>
  </si>
  <si>
    <t>Moritz Wagner</t>
  </si>
  <si>
    <t>Javonte Green</t>
  </si>
  <si>
    <t>MarJon Beauchamp</t>
  </si>
  <si>
    <t>Elijah Harkless</t>
  </si>
  <si>
    <t>Robert Williams</t>
  </si>
  <si>
    <t>Isaiah Jackson</t>
  </si>
  <si>
    <t>Cole Anthony</t>
  </si>
  <si>
    <t>Kevin Love</t>
  </si>
  <si>
    <t>Keon Ellis</t>
  </si>
  <si>
    <t>Jamal Shead</t>
  </si>
  <si>
    <t>Ryan Nembhard</t>
  </si>
  <si>
    <t>Luke Kornet</t>
  </si>
  <si>
    <t>Kenrich Williams</t>
  </si>
  <si>
    <t>Drake Powell</t>
  </si>
  <si>
    <t>Trendon Watford</t>
  </si>
  <si>
    <t>Oso Ighodaro</t>
  </si>
  <si>
    <t>Andre Drummond</t>
  </si>
  <si>
    <t>Jalen Wilson</t>
  </si>
  <si>
    <t>Will Richard</t>
  </si>
  <si>
    <t>Jevon Carter</t>
  </si>
  <si>
    <t>Rob Dillingham</t>
  </si>
  <si>
    <t>Alex Caruso</t>
  </si>
  <si>
    <t>Kasparas Jakučionis</t>
  </si>
  <si>
    <t>Thomas Bryant</t>
  </si>
  <si>
    <t>Kyle Anderson</t>
  </si>
  <si>
    <t>Jahmai Mashack</t>
  </si>
  <si>
    <t>Nick Smith Jr.</t>
  </si>
  <si>
    <t>Tidjane Salaün</t>
  </si>
  <si>
    <t>Gradey Dick</t>
  </si>
  <si>
    <t>Justin Edwards</t>
  </si>
  <si>
    <t>Hayden Gray</t>
  </si>
  <si>
    <t>Goga Bitadze</t>
  </si>
  <si>
    <t>Steven Adams</t>
  </si>
  <si>
    <t>Matisse Thybulle</t>
  </si>
  <si>
    <t>Dean Wade</t>
  </si>
  <si>
    <t>Nick Richards</t>
  </si>
  <si>
    <t>Kris Murray</t>
  </si>
  <si>
    <t>Anthony Gill</t>
  </si>
  <si>
    <t>Ryan Dunn</t>
  </si>
  <si>
    <t>Kobe Brown</t>
  </si>
  <si>
    <t>Nae'Qwan Tomlin</t>
  </si>
  <si>
    <t>Charles Bassey</t>
  </si>
  <si>
    <t>Branden Carlson</t>
  </si>
  <si>
    <t>Mitchell Robinson</t>
  </si>
  <si>
    <t>Doug McDermott</t>
  </si>
  <si>
    <t>Yves Missi</t>
  </si>
  <si>
    <t>Karlo Matković</t>
  </si>
  <si>
    <t>E.J. Liddell</t>
  </si>
  <si>
    <t>Jamaree Bouyea</t>
  </si>
  <si>
    <t>Guerschon Yabusele</t>
  </si>
  <si>
    <t>Terrence Shannon Jr.</t>
  </si>
  <si>
    <t>Dru Smith</t>
  </si>
  <si>
    <t>Tre Mann</t>
  </si>
  <si>
    <t>Jett Howard</t>
  </si>
  <si>
    <t>Eric Gordon</t>
  </si>
  <si>
    <t>Aaron Holiday</t>
  </si>
  <si>
    <t>Baylor Scheierman</t>
  </si>
  <si>
    <t>Spencer Jones</t>
  </si>
  <si>
    <t>Killian Hayes</t>
  </si>
  <si>
    <t>Sion James</t>
  </si>
  <si>
    <t>Jordan Walsh</t>
  </si>
  <si>
    <t>Tyrese Proctor</t>
  </si>
  <si>
    <t>Dylan Cardwell</t>
  </si>
  <si>
    <t>Haywood Highsmith</t>
  </si>
  <si>
    <t>Pete Nance</t>
  </si>
  <si>
    <t>Jamal Cain</t>
  </si>
  <si>
    <t>Nikola Topić</t>
  </si>
  <si>
    <t>Asa Newell</t>
  </si>
  <si>
    <t>Drew Eubanks</t>
  </si>
  <si>
    <t>Marcus Sasser</t>
  </si>
  <si>
    <t>Jalen Pickett</t>
  </si>
  <si>
    <t>Garrison Mathews</t>
  </si>
  <si>
    <t>Trey Alexander</t>
  </si>
  <si>
    <t>Andersson Garcia</t>
  </si>
  <si>
    <t>Ochai Agbaji</t>
  </si>
  <si>
    <t>Jordan Hawkins</t>
  </si>
  <si>
    <t>Johnny Furphy</t>
  </si>
  <si>
    <t>Sidy Cissoko</t>
  </si>
  <si>
    <t>Jericho Sims</t>
  </si>
  <si>
    <t>Blake Wesley</t>
  </si>
  <si>
    <t>Adem Bona</t>
  </si>
  <si>
    <t>Tyler Smith</t>
  </si>
  <si>
    <t>Lonzo Ball</t>
  </si>
  <si>
    <t>Malaki Branham</t>
  </si>
  <si>
    <t>Zyon Pullin</t>
  </si>
  <si>
    <t>Josh Okogie</t>
  </si>
  <si>
    <t>Craig Porter Jr.</t>
  </si>
  <si>
    <t>Mike Conley</t>
  </si>
  <si>
    <t>PJ Hall</t>
  </si>
  <si>
    <t>Moussa Cisse</t>
  </si>
  <si>
    <t>Taelon Peter</t>
  </si>
  <si>
    <t>Jarred Vanderbilt</t>
  </si>
  <si>
    <t>Gabe Vincent</t>
  </si>
  <si>
    <t>John Konchar</t>
  </si>
  <si>
    <t>DeAndre Jordan</t>
  </si>
  <si>
    <t>Jase Richardson</t>
  </si>
  <si>
    <t>Mouhamed Gueye</t>
  </si>
  <si>
    <t>Tyler Kolek</t>
  </si>
  <si>
    <t>Kam Jones</t>
  </si>
  <si>
    <t>Josh Green</t>
  </si>
  <si>
    <t>Dereck Lively II</t>
  </si>
  <si>
    <t>Liam McNeeley</t>
  </si>
  <si>
    <t>Yanic Konan Niederhäuser</t>
  </si>
  <si>
    <t>Keshad Johnson</t>
  </si>
  <si>
    <t>Rasheer Fleming</t>
  </si>
  <si>
    <t>Micah Peavy</t>
  </si>
  <si>
    <t>Jabari Walker</t>
  </si>
  <si>
    <t>Grant Nelson</t>
  </si>
  <si>
    <t>Skal Labissière</t>
  </si>
  <si>
    <t>Carter Bryant</t>
  </si>
  <si>
    <t>Dalton Knecht</t>
  </si>
  <si>
    <t>Ron Harper Jr.</t>
  </si>
  <si>
    <t>A.J. Lawson</t>
  </si>
  <si>
    <t>Tristan Enaruna</t>
  </si>
  <si>
    <t>Brandon Clarke</t>
  </si>
  <si>
    <t>Nicolas Batum</t>
  </si>
  <si>
    <t>Jaylen Clark</t>
  </si>
  <si>
    <t>Tony Bradley</t>
  </si>
  <si>
    <t>Caleb Martin</t>
  </si>
  <si>
    <t>Joan Beringer</t>
  </si>
  <si>
    <t>Hugo González</t>
  </si>
  <si>
    <t>Clint Capela</t>
  </si>
  <si>
    <t>Noah Penda</t>
  </si>
  <si>
    <t>Omer Yurtseven</t>
  </si>
  <si>
    <t>Koby Brea</t>
  </si>
  <si>
    <t>Zeke Nnaji</t>
  </si>
  <si>
    <t>Larry Nance Jr.</t>
  </si>
  <si>
    <t>DaRon Holmes</t>
  </si>
  <si>
    <t>Dalen Terry</t>
  </si>
  <si>
    <t>Tolu Smith</t>
  </si>
  <si>
    <t>Mohamed Diawara</t>
  </si>
  <si>
    <t>Jeremy Sochan</t>
  </si>
  <si>
    <t>Myron Gardner</t>
  </si>
  <si>
    <t>Keaton Wallace</t>
  </si>
  <si>
    <t>Olivier Sarr</t>
  </si>
  <si>
    <t>Trayce Jackson-Davis</t>
  </si>
  <si>
    <t>Taj Gibson</t>
  </si>
  <si>
    <t>Yuki Kawamura</t>
  </si>
  <si>
    <t>Drew Timme</t>
  </si>
  <si>
    <t>Dorian Finney-Smith</t>
  </si>
  <si>
    <t>Dwight Powell</t>
  </si>
  <si>
    <t>AJ Johnson</t>
  </si>
  <si>
    <t>James Wiseman</t>
  </si>
  <si>
    <t>Enrique Freeman</t>
  </si>
  <si>
    <t>Malevy Leons</t>
  </si>
  <si>
    <t>Isaiah Stevens</t>
  </si>
  <si>
    <t>Kelly Olynyk</t>
  </si>
  <si>
    <t>Amir Coffey</t>
  </si>
  <si>
    <t>Alex Antetokounmpo</t>
  </si>
  <si>
    <t>Jamison Battle</t>
  </si>
  <si>
    <t>Miles Kelly</t>
  </si>
  <si>
    <t>Mark Sears</t>
  </si>
  <si>
    <t>Khaman Maluach</t>
  </si>
  <si>
    <t>Chris Livingston</t>
  </si>
  <si>
    <t>Emanuel Miller</t>
  </si>
  <si>
    <t>Tyus Jones</t>
  </si>
  <si>
    <t>Monte Morris</t>
  </si>
  <si>
    <t>CJ Huntley</t>
  </si>
  <si>
    <t>Kobe Bufkin</t>
  </si>
  <si>
    <t>Chris Paul</t>
  </si>
  <si>
    <t>Julian Phillips</t>
  </si>
  <si>
    <t>Duop Reath</t>
  </si>
  <si>
    <t>Bronny James</t>
  </si>
  <si>
    <t>Curtis Jones</t>
  </si>
  <si>
    <t>David Jones Garcia</t>
  </si>
  <si>
    <t>Kevon Looney</t>
  </si>
  <si>
    <t>Jae'Sean Tate</t>
  </si>
  <si>
    <t>Cam Christie</t>
  </si>
  <si>
    <t>Norchad Omier</t>
  </si>
  <si>
    <t>Rocco Zikarsky</t>
  </si>
  <si>
    <t>Gary Harris</t>
  </si>
  <si>
    <t>Antonio Reeves</t>
  </si>
  <si>
    <t>Jonathan Isaac</t>
  </si>
  <si>
    <t>Pat Connaughton</t>
  </si>
  <si>
    <t>John Tonje</t>
  </si>
  <si>
    <t>JD Davison</t>
  </si>
  <si>
    <t>Lindy Waters III</t>
  </si>
  <si>
    <t>Andre Jackson Jr.</t>
  </si>
  <si>
    <t>Chaz Lanier</t>
  </si>
  <si>
    <t>Hunter Dickinson</t>
  </si>
  <si>
    <t>Kevin McCullar Jr.</t>
  </si>
  <si>
    <t>Lachlan Olbrich</t>
  </si>
  <si>
    <t>Chris Boucher</t>
  </si>
  <si>
    <t>Caleb Houstan</t>
  </si>
  <si>
    <t>Luke Travers</t>
  </si>
  <si>
    <t>Yang Hansen</t>
  </si>
  <si>
    <t>Jeff Green</t>
  </si>
  <si>
    <t>Hunter Tyson</t>
  </si>
  <si>
    <t>Ariel Hukporti</t>
  </si>
  <si>
    <t>Alijah Martin</t>
  </si>
  <si>
    <t>Maxi Kleber</t>
  </si>
  <si>
    <t>Jordan McLaughlin</t>
  </si>
  <si>
    <t>Johnny Juzang</t>
  </si>
  <si>
    <t>Alex Morales</t>
  </si>
  <si>
    <t>Jayson Kent</t>
  </si>
  <si>
    <t>Isaiah Crawford</t>
  </si>
  <si>
    <t>Trentyn Flowers</t>
  </si>
  <si>
    <t>Colby Jones</t>
  </si>
  <si>
    <t>Dalano Banton</t>
  </si>
  <si>
    <t>Adou Thiero</t>
  </si>
  <si>
    <t>Sean Pedulla</t>
  </si>
  <si>
    <t>Bobi Klintman</t>
  </si>
  <si>
    <t>Orlando Robinson</t>
  </si>
  <si>
    <t>Cody Martin</t>
  </si>
  <si>
    <t>Isaiah Livers</t>
  </si>
  <si>
    <t>Jahmir Young</t>
  </si>
  <si>
    <t>Pacome Dadiet</t>
  </si>
  <si>
    <t>Brooks Barnhizer</t>
  </si>
  <si>
    <t>Wendell Moore Jr.</t>
  </si>
  <si>
    <t>Mason Plumlee</t>
  </si>
  <si>
    <t>Harrison Ingram</t>
  </si>
  <si>
    <t>Jacob Toppin</t>
  </si>
  <si>
    <t>Joe Ingles</t>
  </si>
  <si>
    <t>Xavier Tillman Sr.</t>
  </si>
  <si>
    <t>Jonathan Mogbo</t>
  </si>
  <si>
    <t>Buddy Boeheim</t>
  </si>
  <si>
    <t>Thanasis Antetokounmpo</t>
  </si>
  <si>
    <t>Amari Williams</t>
  </si>
  <si>
    <t>Dillon Jones</t>
  </si>
  <si>
    <t>Nigel Hayes-Davis</t>
  </si>
  <si>
    <t>TyTy Washington Jr.</t>
  </si>
  <si>
    <t>Colin Castleton</t>
  </si>
  <si>
    <t>Kyle Lowry</t>
  </si>
  <si>
    <t>Javonte Cooke</t>
  </si>
  <si>
    <t>Dario Saric</t>
  </si>
  <si>
    <t>Stanley Umude</t>
  </si>
  <si>
    <t>Trevor Keels</t>
  </si>
  <si>
    <t>Trey Jemison</t>
  </si>
  <si>
    <t>Hunter Sallis</t>
  </si>
  <si>
    <t>Bismack Biyombo</t>
  </si>
  <si>
    <t>Johni Broome</t>
  </si>
  <si>
    <t>Garrett Temple</t>
  </si>
  <si>
    <t>N'Faly Dante</t>
  </si>
  <si>
    <t>Chris Manon</t>
  </si>
  <si>
    <t>Markelle Fultz</t>
  </si>
  <si>
    <t>Vladislav Goldin</t>
  </si>
  <si>
    <t>Drew Peterson</t>
  </si>
  <si>
    <t>Max Shulga</t>
  </si>
  <si>
    <t>Jahmyl Telfort</t>
  </si>
  <si>
    <t>Noa Essengue</t>
  </si>
  <si>
    <t>Tosan Evbuomwan</t>
  </si>
  <si>
    <t>Darius Brown II</t>
  </si>
  <si>
    <t>Chucky Hepburn</t>
  </si>
  <si>
    <t>SUMMARY OUTPUT</t>
  </si>
  <si>
    <t>Regression Statistics</t>
  </si>
  <si>
    <t>Multiple R</t>
  </si>
  <si>
    <t>R Square</t>
  </si>
  <si>
    <t>With this model, we can explain 61% of the variance in salary</t>
  </si>
  <si>
    <t>Adjusted R Square</t>
  </si>
  <si>
    <t>We are not penalized much in our model for complexity, with only a .6% difference in R^2 and adjusted R^2</t>
  </si>
  <si>
    <t>Standard Error</t>
  </si>
  <si>
    <t>alpha = 0.05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</si>
  <si>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</si>
  <si>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</si>
  <si>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</si>
  <si>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</si>
  <si>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</si>
  <si>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</si>
  <si>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</si>
  <si>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</si>
  <si>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</si>
  <si>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</si>
  <si>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</si>
  <si>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</si>
  <si>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</si>
  <si>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</si>
  <si>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</si>
  <si>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</si>
  <si>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</si>
  <si>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</si>
  <si>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Significant predictors: position = guard, minutes_played, assists_per_game, points_per_game</t>
  </si>
  <si>
    <t xml:space="preserve">Dropped predictors (p-val&gt;0.05) </t>
  </si>
  <si>
    <t>east = 1 (conference)</t>
  </si>
  <si>
    <t>position = forward</t>
  </si>
  <si>
    <t>born in US/International</t>
  </si>
  <si>
    <t>get rid of forward</t>
  </si>
  <si>
    <t>highest p-val</t>
  </si>
  <si>
    <t>We dropped the variable position = forward</t>
  </si>
  <si>
    <t>becuase it had a p-value of 0.967 (highest in the set)</t>
  </si>
  <si>
    <t>Significant p-val &lt; 0.05</t>
  </si>
  <si>
    <t xml:space="preserve">Insignificant </t>
  </si>
  <si>
    <t xml:space="preserve">position = guard </t>
  </si>
  <si>
    <t>dropped variable - Born in US/international</t>
  </si>
  <si>
    <t>We dropped the variable 'born in US = 1'</t>
  </si>
  <si>
    <t>becuase it had a p-value of 0.891 (highest in the set)</t>
  </si>
  <si>
    <t xml:space="preserve">Significant </t>
  </si>
  <si>
    <t>Insignificant</t>
  </si>
  <si>
    <t>position = guard</t>
  </si>
  <si>
    <t>east = 1 (conference</t>
  </si>
  <si>
    <t>dropped variable - games_played</t>
  </si>
  <si>
    <t>We dropped the variable 'games played'</t>
  </si>
  <si>
    <t>becuase it had a p-value of 0.871</t>
  </si>
  <si>
    <t>Significant</t>
  </si>
  <si>
    <t xml:space="preserve">east =1 </t>
  </si>
  <si>
    <t>dropped east = 1</t>
  </si>
  <si>
    <t>We dropped the variable conference=east=1</t>
  </si>
  <si>
    <t>becuase it had a p-value of 0.386</t>
  </si>
  <si>
    <t>Significant (p-val &lt; 0.05)</t>
  </si>
  <si>
    <t xml:space="preserve">rebounds_per_game </t>
  </si>
  <si>
    <t>Dropped rebounds per game</t>
  </si>
  <si>
    <t>We dropped the variable rebounds per game</t>
  </si>
  <si>
    <t xml:space="preserve">decreased marginally because the variables we removed were not significant </t>
  </si>
  <si>
    <t>becuase it had a p-value of 0.255</t>
  </si>
  <si>
    <t>all variables are statistically significant</t>
  </si>
  <si>
    <t>^ negative</t>
  </si>
  <si>
    <t xml:space="preserve">^ positive </t>
  </si>
  <si>
    <t>^ positive</t>
  </si>
  <si>
    <t>Interpretation of R^2 and all model coefficients</t>
  </si>
  <si>
    <t>Our final model displayed an adjusted R^2 of 0.615, meaning that about 61.5% of the variability in salary is explained by our four final predictors.</t>
  </si>
  <si>
    <t>Looking at our coefficants and holding all other variables constant, if a player is a guard we would expect them to earn $3,480,395 less than someone playing at the baseline position of center.</t>
  </si>
  <si>
    <t xml:space="preserve">If a player's minutes per game were to go up by one minute, we would expect them to earn $423,346 less. In terms of assists per game, we would expect </t>
  </si>
  <si>
    <t>the salary filled to go up by $1,278,314 per each additonal assist. Lastly, for each additional point per game scored, we would expect the salary to reflect an increase of $1,785,183.</t>
  </si>
  <si>
    <t xml:space="preserve">This is our final model because, after starting will all of the variables in our dataset, we removed the highest non significant p-value at each time, until only </t>
  </si>
  <si>
    <t>the statistically significant predictors were left.</t>
  </si>
  <si>
    <t>The correlation matrix shows a strong relationship between mintutes per game and points per game, which</t>
  </si>
  <si>
    <t>are correlated at 0.872, above the typical 0.7-0.8 threshold. Moderate correlations also appear between assists per game</t>
  </si>
  <si>
    <t>and minutes per game. All 3 of these variables were kept in the model because each represents a different aspect of player</t>
  </si>
  <si>
    <t>performance and explaining overall playing value. Minutes per game captures playing time and opportunity, points per game</t>
  </si>
  <si>
    <t>captures scoring and assists per game captures playmaking. Removing any one would lose meaningful information for</t>
  </si>
  <si>
    <t xml:space="preserve">our model that the other metrics don't fully capture. Guard showed weak correlations with all variables so it was not a </t>
  </si>
  <si>
    <t>multicollinearity problem.</t>
  </si>
  <si>
    <t>How the final model performs</t>
  </si>
  <si>
    <t>Which predictors were most useful or surprising</t>
  </si>
  <si>
    <t>Interpret the relationship be the dependent variable and the significant predictors in your final model</t>
  </si>
  <si>
    <t>How the findings might support a business decision</t>
  </si>
  <si>
    <t>Limitations or cautions based on your data or model</t>
  </si>
  <si>
    <t>Final Model Notes</t>
  </si>
  <si>
    <r>
      <rPr>
        <sz val="11"/>
        <color rgb="FF000000"/>
        <rFont val="Aptos Narrow"/>
        <scheme val="minor"/>
      </rPr>
      <t>Our final model explains</t>
    </r>
    <r>
      <rPr>
        <b/>
        <sz val="11"/>
        <color rgb="FF000000"/>
        <rFont val="Aptos Narrow"/>
        <scheme val="minor"/>
      </rPr>
      <t xml:space="preserve"> ~61.5% of the variation in NBA player salaries</t>
    </r>
    <r>
      <rPr>
        <sz val="11"/>
        <color rgb="FF000000"/>
        <rFont val="Aptos Narrow"/>
        <scheme val="minor"/>
      </rPr>
      <t xml:space="preserve"> (adjusted R^2 = 0.6153) using </t>
    </r>
    <r>
      <rPr>
        <b/>
        <sz val="11"/>
        <color rgb="FF000000"/>
        <rFont val="Aptos Narrow"/>
        <scheme val="minor"/>
      </rPr>
      <t>four predictors</t>
    </r>
    <r>
      <rPr>
        <sz val="11"/>
        <color rgb="FF000000"/>
        <rFont val="Aptos Narrow"/>
        <scheme val="minor"/>
      </rPr>
      <t xml:space="preserve">: position (guard), minutes per game, assists per game, and points per game. </t>
    </r>
  </si>
  <si>
    <t>Logically, these predictors make the most sense compared to the other variables (why would nationality impact salary? It doesn't).</t>
  </si>
  <si>
    <t xml:space="preserve">Points per game is the strongest and more reliable predictor in salary (t-stat = 15.6, p-val &lt; 0.001), meaning that each additional point per game is associated with ~$1.79 million more in salary, holding the other variables constant. </t>
  </si>
  <si>
    <t>Assists per game follows a similar pattern, with each additional assist per game being associated with ~$1.28 million more in salary.</t>
  </si>
  <si>
    <t xml:space="preserve">Being a guard was associated with roughly $3.28 million less in salary than other positions, holding performance stats constant. </t>
  </si>
  <si>
    <t xml:space="preserve">The most surprising result was minutes per game, which has a negative coefficient (-$423,347 per additional minute), despite the logical thinking that the players that play more would make more money. </t>
  </si>
  <si>
    <t>We believe this is an effect of multicollinearity rather than a real implication. Our correlation matrix shows that minutes per game is highly correlated with points per game (r=0.87)</t>
  </si>
  <si>
    <t>(obviously, the more time you're in a game, the more time you have to score points) and moderately correlated with assists per game (r = 0.71).</t>
  </si>
  <si>
    <t xml:space="preserve">Therefore, minutes per game is picking up the leftover variance in an unstable (honestly, kind of confusing) way rather than reflecting minutes_per_game true relationship with salary. </t>
  </si>
  <si>
    <t>Business Implications</t>
  </si>
  <si>
    <t>From the perspective of an NBA's front office, this model suggests that scoring points and making plays (assists) are the two biggest drivers of a player's market value</t>
  </si>
  <si>
    <t>Whether drafting a rookie or creating a contract for a free agent, a players ability to score points and create points through assists are the most important statistics to look at from the perspective of a general manager.</t>
  </si>
  <si>
    <t>The negative coefficients for position (guard) and minutes per game are less reliable in terms of business decisions given the collinearity.</t>
  </si>
  <si>
    <t>An important limitation to note is the adjusted R^squared = 0.615, meaning that over a third of the variation in salary is left unexplained through our dataset/model.</t>
  </si>
  <si>
    <t>That unexplained variation could be explained by a wide range of variables such as timing of contract signing, salary-cap constraints, injury history, or draft ranking.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</si>
</sst>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333333"/>
      <name val="LatoWeb"/>
      <charset val="1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u/>
      <sz val="11"/>
      <color rgb="FF000000"/>
      <name val="Aptos Narrow"/>
      <family val="2"/>
      <scheme val="minor"/>
    </font>
    <font>
      <sz val="11"/>
      <color rgb="FF333333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44" fontId="0" fillId="0" borderId="0" xfId="1" applyFont="1"/>
    <xf numFmtId="0" fontId="0" fillId="0" borderId="0" xfId="1" applyNumberFormat="1" applyFont="1"/>
    <xf numFmtId="0" fontId="2" fillId="0" borderId="1" xfId="0" applyFont="1" applyBorder="1" applyAlignment="1">
      <alignment horizontal="centerContinuous"/>
    </xf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4" borderId="2" xfId="0" applyFill="1" applyBorder="1"/>
    <xf numFmtId="0" fontId="3" fillId="3" borderId="0" xfId="0" applyFont="1" applyFill="1"/>
    <xf numFmtId="0" fontId="3" fillId="4" borderId="0" xfId="0" applyFont="1" applyFill="1"/>
    <xf numFmtId="0" fontId="4" fillId="2" borderId="0" xfId="0" applyFont="1" applyFill="1"/>
    <xf numFmtId="0" fontId="3" fillId="2" borderId="0" xfId="0" applyFont="1" applyFill="1"/>
    <xf numFmtId="0" fontId="0" fillId="5" borderId="0" xfId="0" applyFill="1"/>
    <xf numFmtId="0" fontId="3" fillId="5" borderId="0" xfId="0" applyFont="1" applyFill="1"/>
    <xf numFmtId="0" fontId="0" fillId="6" borderId="0" xfId="0" applyFill="1"/>
    <xf numFmtId="0" fontId="0" fillId="6" borderId="2" xfId="0" applyFill="1" applyBorder="1"/>
    <xf numFmtId="0" fontId="5" fillId="7" borderId="0" xfId="0" applyFont="1" applyFill="1"/>
    <xf numFmtId="0" fontId="2" fillId="0" borderId="0" xfId="0" applyFont="1" applyAlignment="1">
      <alignment horizontal="center"/>
    </xf>
    <xf numFmtId="164" fontId="3" fillId="3" borderId="0" xfId="0" applyNumberFormat="1" applyFont="1" applyFill="1"/>
    <xf numFmtId="0" fontId="7" fillId="0" borderId="0" xfId="0" applyFont="1" applyAlignment="1">
      <alignment horizontal="center"/>
    </xf>
    <xf numFmtId="0" fontId="3" fillId="0" borderId="3" xfId="0" applyFont="1" applyBorder="1"/>
    <xf numFmtId="0" fontId="8" fillId="0" borderId="0" xfId="0" applyFont="1"/>
    <xf numFmtId="0" fontId="0" fillId="8" borderId="0" xfId="0" applyFill="1"/>
    <xf numFmtId="164" fontId="6" fillId="4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9" borderId="0" xfId="0" applyFill="1"/>
    <xf numFmtId="0" fontId="0" fillId="9" borderId="2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BD94-140D-4590-B962-2C0EDDD64AED}">
  <dimension ref="A1:Q567"/>
  <sheetViews>
    <sheetView workbookViewId="0">
      <selection activeCell="M1" sqref="M1:M1048576"/>
    </sheetView>
  </sheetViews>
  <sheetFormatPr defaultRowHeight="15" customHeight="1"/>
  <cols>
    <col min="1" max="1" width="24.5703125" customWidth="1"/>
    <col min="13" max="14" width="18.5703125" style="1" customWidth="1"/>
    <col min="16" max="17" width="21.42578125" style="1" customWidth="1"/>
    <col min="18" max="18" width="9.5703125" customWidth="1"/>
    <col min="20" max="20" width="16.42578125" customWidth="1"/>
    <col min="21" max="21" width="10.140625" customWidth="1"/>
    <col min="22" max="22" width="16.8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</row>
    <row r="2" spans="1:15">
      <c r="A2" t="s">
        <v>15</v>
      </c>
      <c r="B2" t="s">
        <v>16</v>
      </c>
      <c r="C2">
        <f>IF(B2="east",1,0)</f>
        <v>0</v>
      </c>
      <c r="D2" t="s">
        <v>17</v>
      </c>
      <c r="E2">
        <f>IF(D2="Guard",1,0)</f>
        <v>1</v>
      </c>
      <c r="F2">
        <f>IF(D2="Forward",1,0)</f>
        <v>0</v>
      </c>
      <c r="G2">
        <v>26</v>
      </c>
      <c r="H2">
        <v>64</v>
      </c>
      <c r="I2">
        <v>35.799999999999997</v>
      </c>
      <c r="J2">
        <v>7.7</v>
      </c>
      <c r="K2">
        <v>8.3000000000000007</v>
      </c>
      <c r="L2">
        <v>33.5</v>
      </c>
      <c r="M2" s="1">
        <v>45999660</v>
      </c>
      <c r="N2" s="2">
        <f>IF(O2="US",1,0)</f>
        <v>0</v>
      </c>
      <c r="O2" t="s">
        <v>18</v>
      </c>
    </row>
    <row r="3" spans="1:15">
      <c r="A3" t="s">
        <v>19</v>
      </c>
      <c r="B3" t="s">
        <v>16</v>
      </c>
      <c r="C3">
        <f>IF(B3="east",1,0)</f>
        <v>0</v>
      </c>
      <c r="D3" t="s">
        <v>17</v>
      </c>
      <c r="E3">
        <f>IF(D3="Guard",1,0)</f>
        <v>1</v>
      </c>
      <c r="F3">
        <f>IF(D3="Forward",1,0)</f>
        <v>0</v>
      </c>
      <c r="G3">
        <v>27</v>
      </c>
      <c r="H3">
        <v>68</v>
      </c>
      <c r="I3">
        <v>33.200000000000003</v>
      </c>
      <c r="J3">
        <v>4.3</v>
      </c>
      <c r="K3">
        <v>6.6</v>
      </c>
      <c r="L3">
        <v>31.1</v>
      </c>
      <c r="M3" s="1">
        <v>38333050</v>
      </c>
      <c r="N3" s="2">
        <f>IF(O3="US",1,0)</f>
        <v>0</v>
      </c>
      <c r="O3" t="s">
        <v>18</v>
      </c>
    </row>
    <row r="4" spans="1:15">
      <c r="A4" t="s">
        <v>20</v>
      </c>
      <c r="B4" t="s">
        <v>16</v>
      </c>
      <c r="C4">
        <f>IF(B4="east",1,0)</f>
        <v>0</v>
      </c>
      <c r="D4" t="s">
        <v>17</v>
      </c>
      <c r="E4">
        <f>IF(D4="Guard",1,0)</f>
        <v>1</v>
      </c>
      <c r="F4">
        <f>IF(D4="Forward",1,0)</f>
        <v>0</v>
      </c>
      <c r="G4">
        <v>24</v>
      </c>
      <c r="H4">
        <v>61</v>
      </c>
      <c r="I4">
        <v>35</v>
      </c>
      <c r="J4">
        <v>5</v>
      </c>
      <c r="K4">
        <v>3.7</v>
      </c>
      <c r="L4">
        <v>28.8</v>
      </c>
      <c r="M4" s="1">
        <v>45550512</v>
      </c>
      <c r="N4" s="2">
        <f>IF(O4="US",1,0)</f>
        <v>1</v>
      </c>
      <c r="O4" t="s">
        <v>21</v>
      </c>
    </row>
    <row r="5" spans="1:15">
      <c r="A5" t="s">
        <v>22</v>
      </c>
      <c r="B5" t="s">
        <v>23</v>
      </c>
      <c r="C5">
        <f>IF(B5="east",1,0)</f>
        <v>1</v>
      </c>
      <c r="D5" t="s">
        <v>24</v>
      </c>
      <c r="E5">
        <f>IF(D5="Guard",1,0)</f>
        <v>0</v>
      </c>
      <c r="F5">
        <f>IF(D5="Forward",1,0)</f>
        <v>1</v>
      </c>
      <c r="G5">
        <v>29</v>
      </c>
      <c r="H5">
        <v>71</v>
      </c>
      <c r="I5">
        <v>34.4</v>
      </c>
      <c r="J5">
        <v>6.9</v>
      </c>
      <c r="K5">
        <v>5.0999999999999996</v>
      </c>
      <c r="L5">
        <v>28.7</v>
      </c>
      <c r="M5" s="1">
        <v>53142264</v>
      </c>
      <c r="N5" s="2">
        <f>IF(O5="US",1,0)</f>
        <v>1</v>
      </c>
      <c r="O5" t="s">
        <v>21</v>
      </c>
    </row>
    <row r="6" spans="1:15">
      <c r="A6" t="s">
        <v>25</v>
      </c>
      <c r="B6" t="s">
        <v>23</v>
      </c>
      <c r="C6">
        <f>IF(B6="east",1,0)</f>
        <v>1</v>
      </c>
      <c r="D6" t="s">
        <v>17</v>
      </c>
      <c r="E6">
        <f>IF(D6="Guard",1,0)</f>
        <v>1</v>
      </c>
      <c r="F6">
        <f>IF(D6="Forward",1,0)</f>
        <v>0</v>
      </c>
      <c r="G6">
        <v>25</v>
      </c>
      <c r="H6">
        <v>70</v>
      </c>
      <c r="I6">
        <v>38</v>
      </c>
      <c r="J6">
        <v>4.0999999999999996</v>
      </c>
      <c r="K6">
        <v>6.6</v>
      </c>
      <c r="L6">
        <v>28.3</v>
      </c>
      <c r="M6" s="1">
        <v>37958760</v>
      </c>
      <c r="N6" s="2">
        <f>IF(O6="US",1,0)</f>
        <v>1</v>
      </c>
      <c r="O6" t="s">
        <v>21</v>
      </c>
    </row>
    <row r="7" spans="1:15">
      <c r="A7" t="s">
        <v>26</v>
      </c>
      <c r="B7" t="s">
        <v>16</v>
      </c>
      <c r="C7">
        <f>IF(B7="east",1,0)</f>
        <v>0</v>
      </c>
      <c r="D7" t="s">
        <v>24</v>
      </c>
      <c r="E7">
        <f>IF(D7="Guard",1,0)</f>
        <v>0</v>
      </c>
      <c r="F7">
        <f>IF(D7="Forward",1,0)</f>
        <v>1</v>
      </c>
      <c r="G7">
        <v>34</v>
      </c>
      <c r="H7">
        <v>65</v>
      </c>
      <c r="I7">
        <v>32.1</v>
      </c>
      <c r="J7">
        <v>6.4</v>
      </c>
      <c r="K7">
        <v>3.6</v>
      </c>
      <c r="L7">
        <v>27.9</v>
      </c>
      <c r="M7" s="1">
        <v>50000000</v>
      </c>
      <c r="N7" s="2">
        <f>IF(O7="US",1,0)</f>
        <v>1</v>
      </c>
      <c r="O7" t="s">
        <v>21</v>
      </c>
    </row>
    <row r="8" spans="1:15">
      <c r="A8" t="s">
        <v>27</v>
      </c>
      <c r="B8" t="s">
        <v>23</v>
      </c>
      <c r="C8">
        <f>IF(B8="east",1,0)</f>
        <v>1</v>
      </c>
      <c r="D8" t="s">
        <v>17</v>
      </c>
      <c r="E8">
        <f>IF(D8="Guard",1,0)</f>
        <v>1</v>
      </c>
      <c r="F8">
        <f>IF(D8="Forward",1,0)</f>
        <v>0</v>
      </c>
      <c r="G8">
        <v>29</v>
      </c>
      <c r="H8">
        <v>70</v>
      </c>
      <c r="I8">
        <v>33.5</v>
      </c>
      <c r="J8">
        <v>4.5</v>
      </c>
      <c r="K8">
        <v>5.7</v>
      </c>
      <c r="L8">
        <v>27.9</v>
      </c>
      <c r="M8" s="1">
        <v>46394100</v>
      </c>
      <c r="N8" s="2">
        <f>IF(O8="US",1,0)</f>
        <v>1</v>
      </c>
      <c r="O8" t="s">
        <v>21</v>
      </c>
    </row>
    <row r="9" spans="1:15">
      <c r="A9" t="s">
        <v>28</v>
      </c>
      <c r="B9" t="s">
        <v>16</v>
      </c>
      <c r="C9">
        <f>IF(B9="east",1,0)</f>
        <v>0</v>
      </c>
      <c r="D9" t="s">
        <v>29</v>
      </c>
      <c r="E9">
        <f>IF(D9="Guard",1,0)</f>
        <v>0</v>
      </c>
      <c r="F9">
        <f>IF(D9="Forward",1,0)</f>
        <v>0</v>
      </c>
      <c r="G9">
        <v>30</v>
      </c>
      <c r="H9">
        <v>65</v>
      </c>
      <c r="I9">
        <v>34.799999999999997</v>
      </c>
      <c r="J9">
        <v>12.9</v>
      </c>
      <c r="K9">
        <v>10.7</v>
      </c>
      <c r="L9">
        <v>27.7</v>
      </c>
      <c r="M9" s="1">
        <v>55224526</v>
      </c>
      <c r="N9" s="2">
        <f>IF(O9="US",1,0)</f>
        <v>0</v>
      </c>
      <c r="O9" t="s">
        <v>18</v>
      </c>
    </row>
    <row r="10" spans="1:15">
      <c r="A10" t="s">
        <v>30</v>
      </c>
      <c r="B10" t="s">
        <v>23</v>
      </c>
      <c r="C10">
        <f>IF(B10="east",1,0)</f>
        <v>1</v>
      </c>
      <c r="D10" t="s">
        <v>24</v>
      </c>
      <c r="E10">
        <f>IF(D10="Guard",1,0)</f>
        <v>0</v>
      </c>
      <c r="F10">
        <f>IF(D10="Forward",1,0)</f>
        <v>1</v>
      </c>
      <c r="G10">
        <v>31</v>
      </c>
      <c r="H10">
        <v>36</v>
      </c>
      <c r="I10">
        <v>28.9</v>
      </c>
      <c r="J10">
        <v>9.8000000000000007</v>
      </c>
      <c r="K10">
        <v>5.4</v>
      </c>
      <c r="L10">
        <v>27.6</v>
      </c>
      <c r="M10" s="1">
        <v>54126450</v>
      </c>
      <c r="N10" s="2">
        <f>IF(O10="US",1,0)</f>
        <v>0</v>
      </c>
      <c r="O10" t="s">
        <v>18</v>
      </c>
    </row>
    <row r="11" spans="1:15">
      <c r="A11" t="s">
        <v>31</v>
      </c>
      <c r="B11" t="s">
        <v>23</v>
      </c>
      <c r="C11">
        <f>IF(B11="east",1,0)</f>
        <v>1</v>
      </c>
      <c r="D11" t="s">
        <v>29</v>
      </c>
      <c r="E11">
        <f>IF(D11="Guard",1,0)</f>
        <v>0</v>
      </c>
      <c r="F11">
        <f>IF(D11="Forward",1,0)</f>
        <v>0</v>
      </c>
      <c r="G11">
        <v>31</v>
      </c>
      <c r="H11">
        <v>38</v>
      </c>
      <c r="I11">
        <v>31.6</v>
      </c>
      <c r="J11">
        <v>7.7</v>
      </c>
      <c r="K11">
        <v>3.9</v>
      </c>
      <c r="L11">
        <v>26.9</v>
      </c>
      <c r="M11" s="1">
        <v>55224526</v>
      </c>
      <c r="N11" s="2">
        <f>IF(O11="US",1,0)</f>
        <v>0</v>
      </c>
      <c r="O11" t="s">
        <v>18</v>
      </c>
    </row>
    <row r="12" spans="1:15">
      <c r="A12" t="s">
        <v>32</v>
      </c>
      <c r="B12" t="s">
        <v>16</v>
      </c>
      <c r="C12">
        <f>IF(B12="east",1,0)</f>
        <v>0</v>
      </c>
      <c r="D12" t="s">
        <v>24</v>
      </c>
      <c r="E12">
        <f>IF(D12="Guard",1,0)</f>
        <v>0</v>
      </c>
      <c r="F12">
        <f>IF(D12="Forward",1,0)</f>
        <v>1</v>
      </c>
      <c r="G12">
        <v>28</v>
      </c>
      <c r="H12">
        <v>42</v>
      </c>
      <c r="I12">
        <v>34.4</v>
      </c>
      <c r="J12">
        <v>6.9</v>
      </c>
      <c r="K12">
        <v>2.1</v>
      </c>
      <c r="L12">
        <v>26.7</v>
      </c>
      <c r="M12" s="1">
        <v>46394100</v>
      </c>
      <c r="N12" s="2">
        <f>IF(O12="US",1,0)</f>
        <v>0</v>
      </c>
      <c r="O12" t="s">
        <v>18</v>
      </c>
    </row>
    <row r="13" spans="1:15">
      <c r="A13" t="s">
        <v>33</v>
      </c>
      <c r="B13" t="s">
        <v>16</v>
      </c>
      <c r="C13">
        <f>IF(B13="east",1,0)</f>
        <v>0</v>
      </c>
      <c r="D13" t="s">
        <v>17</v>
      </c>
      <c r="E13">
        <f>IF(D13="Guard",1,0)</f>
        <v>1</v>
      </c>
      <c r="F13">
        <f>IF(D13="Forward",1,0)</f>
        <v>0</v>
      </c>
      <c r="G13">
        <v>37</v>
      </c>
      <c r="H13">
        <v>43</v>
      </c>
      <c r="I13">
        <v>30.9</v>
      </c>
      <c r="J13">
        <v>3.6</v>
      </c>
      <c r="K13">
        <v>4.7</v>
      </c>
      <c r="L13">
        <v>26.6</v>
      </c>
      <c r="M13" s="1">
        <v>59606817</v>
      </c>
      <c r="N13" s="2">
        <f>IF(O13="US",1,0)</f>
        <v>1</v>
      </c>
      <c r="O13" t="s">
        <v>21</v>
      </c>
    </row>
    <row r="14" spans="1:15">
      <c r="A14" t="s">
        <v>34</v>
      </c>
      <c r="B14" t="s">
        <v>16</v>
      </c>
      <c r="C14">
        <f>IF(B14="east",1,0)</f>
        <v>0</v>
      </c>
      <c r="D14" t="s">
        <v>17</v>
      </c>
      <c r="E14">
        <f>IF(D14="Guard",1,0)</f>
        <v>1</v>
      </c>
      <c r="F14">
        <f>IF(D14="Forward",1,0)</f>
        <v>0</v>
      </c>
      <c r="G14">
        <v>29</v>
      </c>
      <c r="H14">
        <v>64</v>
      </c>
      <c r="I14">
        <v>33.5</v>
      </c>
      <c r="J14">
        <v>3.9</v>
      </c>
      <c r="K14">
        <v>6</v>
      </c>
      <c r="L14">
        <v>26.1</v>
      </c>
      <c r="M14" s="1">
        <v>53142264</v>
      </c>
      <c r="N14" s="2">
        <f>IF(O14="US",1,0)</f>
        <v>1</v>
      </c>
      <c r="O14" t="s">
        <v>21</v>
      </c>
    </row>
    <row r="15" spans="1:15">
      <c r="A15" t="s">
        <v>35</v>
      </c>
      <c r="B15" t="s">
        <v>16</v>
      </c>
      <c r="C15">
        <f>IF(B15="east",1,0)</f>
        <v>0</v>
      </c>
      <c r="D15" t="s">
        <v>24</v>
      </c>
      <c r="E15">
        <f>IF(D15="Guard",1,0)</f>
        <v>0</v>
      </c>
      <c r="F15">
        <f>IF(D15="Forward",1,0)</f>
        <v>1</v>
      </c>
      <c r="G15">
        <v>37</v>
      </c>
      <c r="H15">
        <v>78</v>
      </c>
      <c r="I15">
        <v>36.4</v>
      </c>
      <c r="J15">
        <v>5.5</v>
      </c>
      <c r="K15">
        <v>4.8</v>
      </c>
      <c r="L15">
        <v>26</v>
      </c>
      <c r="M15" s="1">
        <v>53282608</v>
      </c>
      <c r="N15" s="2">
        <f>IF(O15="US",1,0)</f>
        <v>1</v>
      </c>
      <c r="O15" t="s">
        <v>21</v>
      </c>
    </row>
    <row r="16" spans="1:15">
      <c r="A16" t="s">
        <v>36</v>
      </c>
      <c r="B16" t="s">
        <v>23</v>
      </c>
      <c r="C16">
        <f>IF(B16="east",1,0)</f>
        <v>1</v>
      </c>
      <c r="D16" t="s">
        <v>17</v>
      </c>
      <c r="E16">
        <f>IF(D16="Guard",1,0)</f>
        <v>1</v>
      </c>
      <c r="F16">
        <f>IF(D16="Forward",1,0)</f>
        <v>0</v>
      </c>
      <c r="G16">
        <v>29</v>
      </c>
      <c r="H16">
        <v>74</v>
      </c>
      <c r="I16">
        <v>35</v>
      </c>
      <c r="J16">
        <v>3.3</v>
      </c>
      <c r="K16">
        <v>6.8</v>
      </c>
      <c r="L16">
        <v>26</v>
      </c>
      <c r="M16" s="1">
        <v>34944001</v>
      </c>
      <c r="N16" s="2">
        <f>IF(O16="US",1,0)</f>
        <v>1</v>
      </c>
      <c r="O16" t="s">
        <v>21</v>
      </c>
    </row>
    <row r="17" spans="1:15">
      <c r="A17" t="s">
        <v>37</v>
      </c>
      <c r="B17" t="s">
        <v>16</v>
      </c>
      <c r="C17">
        <f>IF(B17="east",1,0)</f>
        <v>0</v>
      </c>
      <c r="D17" t="s">
        <v>17</v>
      </c>
      <c r="E17">
        <f>IF(D17="Guard",1,0)</f>
        <v>1</v>
      </c>
      <c r="F17">
        <f>IF(D17="Forward",1,0)</f>
        <v>0</v>
      </c>
      <c r="G17">
        <v>28</v>
      </c>
      <c r="H17">
        <v>75</v>
      </c>
      <c r="I17">
        <v>35.4</v>
      </c>
      <c r="J17">
        <v>4.4000000000000004</v>
      </c>
      <c r="K17">
        <v>7.1</v>
      </c>
      <c r="L17">
        <v>25.4</v>
      </c>
      <c r="M17" s="1">
        <v>46394100</v>
      </c>
      <c r="N17" s="2">
        <f>IF(O17="US",1,0)</f>
        <v>0</v>
      </c>
      <c r="O17" t="s">
        <v>18</v>
      </c>
    </row>
    <row r="18" spans="1:15">
      <c r="A18" t="s">
        <v>38</v>
      </c>
      <c r="B18" t="s">
        <v>16</v>
      </c>
      <c r="C18">
        <f>IF(B18="east",1,0)</f>
        <v>0</v>
      </c>
      <c r="D18" t="s">
        <v>29</v>
      </c>
      <c r="E18">
        <f>IF(D18="Guard",1,0)</f>
        <v>0</v>
      </c>
      <c r="F18">
        <f>IF(D18="Forward",1,0)</f>
        <v>0</v>
      </c>
      <c r="G18">
        <v>22</v>
      </c>
      <c r="H18">
        <v>64</v>
      </c>
      <c r="I18">
        <v>29.2</v>
      </c>
      <c r="J18">
        <v>11.5</v>
      </c>
      <c r="K18">
        <v>3.1</v>
      </c>
      <c r="L18">
        <v>25</v>
      </c>
      <c r="M18" s="1">
        <v>13376880</v>
      </c>
      <c r="N18" s="2">
        <f>IF(O18="US",1,0)</f>
        <v>0</v>
      </c>
      <c r="O18" t="s">
        <v>18</v>
      </c>
    </row>
    <row r="19" spans="1:15">
      <c r="A19" t="s">
        <v>39</v>
      </c>
      <c r="B19" t="s">
        <v>23</v>
      </c>
      <c r="C19">
        <f>IF(B19="east",1,0)</f>
        <v>1</v>
      </c>
      <c r="D19" t="s">
        <v>24</v>
      </c>
      <c r="E19">
        <f>IF(D19="Guard",1,0)</f>
        <v>0</v>
      </c>
      <c r="F19">
        <f>IF(D19="Forward",1,0)</f>
        <v>1</v>
      </c>
      <c r="G19">
        <v>27</v>
      </c>
      <c r="H19">
        <v>52</v>
      </c>
      <c r="I19">
        <v>32.5</v>
      </c>
      <c r="J19">
        <v>7.1</v>
      </c>
      <c r="K19">
        <v>3</v>
      </c>
      <c r="L19">
        <v>24.2</v>
      </c>
      <c r="M19" s="1">
        <v>38333050</v>
      </c>
      <c r="N19" s="2">
        <f>IF(O19="US",1,0)</f>
        <v>1</v>
      </c>
      <c r="O19" t="s">
        <v>21</v>
      </c>
    </row>
    <row r="20" spans="1:15">
      <c r="A20" t="s">
        <v>40</v>
      </c>
      <c r="B20" t="s">
        <v>16</v>
      </c>
      <c r="C20">
        <f>IF(B20="east",1,0)</f>
        <v>0</v>
      </c>
      <c r="D20" t="s">
        <v>24</v>
      </c>
      <c r="E20">
        <f>IF(D20="Guard",1,0)</f>
        <v>0</v>
      </c>
      <c r="F20">
        <f>IF(D20="Forward",1,0)</f>
        <v>1</v>
      </c>
      <c r="G20">
        <v>25</v>
      </c>
      <c r="H20">
        <v>66</v>
      </c>
      <c r="I20">
        <v>33.299999999999997</v>
      </c>
      <c r="J20">
        <v>6.9</v>
      </c>
      <c r="K20">
        <v>6.7</v>
      </c>
      <c r="L20">
        <v>24.2</v>
      </c>
      <c r="M20" s="1">
        <v>14375000</v>
      </c>
      <c r="N20" s="2">
        <f>IF(O20="US",1,0)</f>
        <v>0</v>
      </c>
      <c r="O20" t="s">
        <v>18</v>
      </c>
    </row>
    <row r="21" spans="1:15">
      <c r="A21" t="s">
        <v>41</v>
      </c>
      <c r="B21" t="s">
        <v>23</v>
      </c>
      <c r="C21">
        <f>IF(B21="east",1,0)</f>
        <v>1</v>
      </c>
      <c r="D21" t="s">
        <v>24</v>
      </c>
      <c r="E21">
        <f>IF(D21="Guard",1,0)</f>
        <v>0</v>
      </c>
      <c r="F21">
        <f>IF(D21="Forward",1,0)</f>
        <v>1</v>
      </c>
      <c r="G21">
        <v>31</v>
      </c>
      <c r="H21">
        <v>62</v>
      </c>
      <c r="I21">
        <v>33.200000000000003</v>
      </c>
      <c r="J21">
        <v>6.6</v>
      </c>
      <c r="K21">
        <v>3.8</v>
      </c>
      <c r="L21">
        <v>24</v>
      </c>
      <c r="M21" s="1">
        <v>45550512</v>
      </c>
      <c r="N21" s="2">
        <f>IF(O21="US",1,0)</f>
        <v>0</v>
      </c>
      <c r="O21" t="s">
        <v>18</v>
      </c>
    </row>
    <row r="22" spans="1:15">
      <c r="A22" t="s">
        <v>42</v>
      </c>
      <c r="B22" t="s">
        <v>23</v>
      </c>
      <c r="C22">
        <f>IF(B22="east",1,0)</f>
        <v>1</v>
      </c>
      <c r="D22" t="s">
        <v>17</v>
      </c>
      <c r="E22">
        <f>IF(D22="Guard",1,0)</f>
        <v>1</v>
      </c>
      <c r="F22">
        <f>IF(D22="Forward",1,0)</f>
        <v>0</v>
      </c>
      <c r="G22">
        <v>24</v>
      </c>
      <c r="H22">
        <v>64</v>
      </c>
      <c r="I22">
        <v>33.9</v>
      </c>
      <c r="J22">
        <v>5.5</v>
      </c>
      <c r="K22">
        <v>9.9</v>
      </c>
      <c r="L22">
        <v>23.9</v>
      </c>
      <c r="M22" s="1">
        <v>46394100</v>
      </c>
      <c r="N22" s="2">
        <f>IF(O22="US",1,0)</f>
        <v>1</v>
      </c>
      <c r="O22" t="s">
        <v>21</v>
      </c>
    </row>
    <row r="23" spans="1:15">
      <c r="A23" t="s">
        <v>43</v>
      </c>
      <c r="B23" t="s">
        <v>23</v>
      </c>
      <c r="C23">
        <f>IF(B23="east",1,0)</f>
        <v>1</v>
      </c>
      <c r="D23" t="s">
        <v>17</v>
      </c>
      <c r="E23">
        <f>IF(D23="Guard",1,0)</f>
        <v>1</v>
      </c>
      <c r="F23">
        <f>IF(D23="Forward",1,0)</f>
        <v>0</v>
      </c>
      <c r="G23">
        <v>36</v>
      </c>
      <c r="H23">
        <v>70</v>
      </c>
      <c r="I23">
        <v>34.799999999999997</v>
      </c>
      <c r="J23">
        <v>4.8</v>
      </c>
      <c r="K23">
        <v>8</v>
      </c>
      <c r="L23">
        <v>23.6</v>
      </c>
      <c r="M23" s="1">
        <v>39182693</v>
      </c>
      <c r="N23" s="2">
        <f>IF(O23="US",1,0)</f>
        <v>1</v>
      </c>
      <c r="O23" t="s">
        <v>21</v>
      </c>
    </row>
    <row r="24" spans="1:15">
      <c r="A24" t="s">
        <v>44</v>
      </c>
      <c r="B24" t="s">
        <v>16</v>
      </c>
      <c r="C24">
        <f>IF(B24="east",1,0)</f>
        <v>0</v>
      </c>
      <c r="D24" t="s">
        <v>17</v>
      </c>
      <c r="E24">
        <f>IF(D24="Guard",1,0)</f>
        <v>1</v>
      </c>
      <c r="F24">
        <f>IF(D24="Forward",1,0)</f>
        <v>0</v>
      </c>
      <c r="G24">
        <v>22</v>
      </c>
      <c r="H24">
        <v>54</v>
      </c>
      <c r="I24">
        <v>33.1</v>
      </c>
      <c r="J24">
        <v>3.7</v>
      </c>
      <c r="K24">
        <v>6.1</v>
      </c>
      <c r="L24">
        <v>23.6</v>
      </c>
      <c r="M24" s="1">
        <v>4278960</v>
      </c>
      <c r="N24" s="2">
        <f>IF(O24="US",1,0)</f>
        <v>1</v>
      </c>
      <c r="O24" t="s">
        <v>21</v>
      </c>
    </row>
    <row r="25" spans="1:15">
      <c r="A25" t="s">
        <v>45</v>
      </c>
      <c r="B25" t="s">
        <v>16</v>
      </c>
      <c r="C25">
        <f>IF(B25="east",1,0)</f>
        <v>0</v>
      </c>
      <c r="D25" t="s">
        <v>17</v>
      </c>
      <c r="E25">
        <f>IF(D25="Guard",1,0)</f>
        <v>1</v>
      </c>
      <c r="F25">
        <f>IF(D25="Forward",1,0)</f>
        <v>0</v>
      </c>
      <c r="G25">
        <v>27</v>
      </c>
      <c r="H25">
        <v>51</v>
      </c>
      <c r="I25">
        <v>34.5</v>
      </c>
      <c r="J25">
        <v>4.7</v>
      </c>
      <c r="K25">
        <v>5.5</v>
      </c>
      <c r="L25">
        <v>23.3</v>
      </c>
      <c r="M25" s="1">
        <v>13937574</v>
      </c>
      <c r="N25" s="2">
        <f>IF(O25="US",1,0)</f>
        <v>1</v>
      </c>
      <c r="O25" t="s">
        <v>21</v>
      </c>
    </row>
    <row r="26" spans="1:15">
      <c r="A26" t="s">
        <v>46</v>
      </c>
      <c r="B26" t="s">
        <v>23</v>
      </c>
      <c r="C26">
        <f>IF(B26="east",1,0)</f>
        <v>1</v>
      </c>
      <c r="D26" t="s">
        <v>24</v>
      </c>
      <c r="E26">
        <f>IF(D26="Guard",1,0)</f>
        <v>0</v>
      </c>
      <c r="F26">
        <f>IF(D26="Forward",1,0)</f>
        <v>1</v>
      </c>
      <c r="G26">
        <v>24</v>
      </c>
      <c r="H26">
        <v>72</v>
      </c>
      <c r="I26">
        <v>35.200000000000003</v>
      </c>
      <c r="J26">
        <v>10.3</v>
      </c>
      <c r="K26">
        <v>7.9</v>
      </c>
      <c r="L26">
        <v>22.5</v>
      </c>
      <c r="M26" s="1">
        <v>30000000</v>
      </c>
      <c r="N26" s="2">
        <f>IF(O26="US",1,0)</f>
        <v>1</v>
      </c>
      <c r="O26" t="s">
        <v>21</v>
      </c>
    </row>
    <row r="27" spans="1:15">
      <c r="A27" t="s">
        <v>47</v>
      </c>
      <c r="B27" t="s">
        <v>23</v>
      </c>
      <c r="C27">
        <f>IF(B27="east",1,0)</f>
        <v>1</v>
      </c>
      <c r="D27" t="s">
        <v>24</v>
      </c>
      <c r="E27">
        <f>IF(D27="Guard",1,0)</f>
        <v>0</v>
      </c>
      <c r="F27">
        <f>IF(D27="Forward",1,0)</f>
        <v>1</v>
      </c>
      <c r="G27">
        <v>23</v>
      </c>
      <c r="H27">
        <v>72</v>
      </c>
      <c r="I27">
        <v>34.799999999999997</v>
      </c>
      <c r="J27">
        <v>8.4</v>
      </c>
      <c r="K27">
        <v>5.2</v>
      </c>
      <c r="L27">
        <v>22.2</v>
      </c>
      <c r="M27" s="1">
        <v>15334769</v>
      </c>
      <c r="N27" s="2">
        <f>IF(O27="US",1,0)</f>
        <v>1</v>
      </c>
      <c r="O27" t="s">
        <v>21</v>
      </c>
    </row>
    <row r="28" spans="1:15">
      <c r="A28" t="s">
        <v>48</v>
      </c>
      <c r="B28" t="s">
        <v>23</v>
      </c>
      <c r="C28">
        <f>IF(B28="east",1,0)</f>
        <v>1</v>
      </c>
      <c r="D28" t="s">
        <v>24</v>
      </c>
      <c r="E28">
        <f>IF(D28="Guard",1,0)</f>
        <v>0</v>
      </c>
      <c r="F28">
        <f>IF(D28="Forward",1,0)</f>
        <v>1</v>
      </c>
      <c r="G28">
        <v>27</v>
      </c>
      <c r="H28">
        <v>16</v>
      </c>
      <c r="I28">
        <v>32.6</v>
      </c>
      <c r="J28">
        <v>10</v>
      </c>
      <c r="K28">
        <v>5.3</v>
      </c>
      <c r="L28">
        <v>21.8</v>
      </c>
      <c r="M28" s="1">
        <v>54126450</v>
      </c>
      <c r="N28" s="2">
        <f>IF(O28="US",1,0)</f>
        <v>1</v>
      </c>
      <c r="O28" t="s">
        <v>21</v>
      </c>
    </row>
    <row r="29" spans="1:15">
      <c r="A29" t="s">
        <v>49</v>
      </c>
      <c r="B29" t="s">
        <v>23</v>
      </c>
      <c r="C29">
        <f>IF(B29="east",1,0)</f>
        <v>1</v>
      </c>
      <c r="D29" t="s">
        <v>17</v>
      </c>
      <c r="E29">
        <f>IF(D29="Guard",1,0)</f>
        <v>1</v>
      </c>
      <c r="F29">
        <f>IF(D29="Forward",1,0)</f>
        <v>0</v>
      </c>
      <c r="G29">
        <v>32</v>
      </c>
      <c r="H29">
        <v>58</v>
      </c>
      <c r="I29">
        <v>29.6</v>
      </c>
      <c r="J29">
        <v>3.5</v>
      </c>
      <c r="K29">
        <v>2.5</v>
      </c>
      <c r="L29">
        <v>21.7</v>
      </c>
      <c r="M29" s="1">
        <v>20482758</v>
      </c>
      <c r="N29" s="2">
        <f>IF(O29="US",1,0)</f>
        <v>1</v>
      </c>
      <c r="O29" t="s">
        <v>21</v>
      </c>
    </row>
    <row r="30" spans="1:15">
      <c r="A30" t="s">
        <v>50</v>
      </c>
      <c r="B30" t="s">
        <v>23</v>
      </c>
      <c r="C30">
        <f>IF(B30="east",1,0)</f>
        <v>1</v>
      </c>
      <c r="D30" t="s">
        <v>24</v>
      </c>
      <c r="E30">
        <f>IF(D30="Guard",1,0)</f>
        <v>0</v>
      </c>
      <c r="F30">
        <f>IF(D30="Forward",1,0)</f>
        <v>1</v>
      </c>
      <c r="G30">
        <v>28</v>
      </c>
      <c r="H30">
        <v>77</v>
      </c>
      <c r="I30">
        <v>33.799999999999997</v>
      </c>
      <c r="J30">
        <v>5.6</v>
      </c>
      <c r="K30">
        <v>3.7</v>
      </c>
      <c r="L30">
        <v>21.5</v>
      </c>
      <c r="M30" s="1">
        <v>38095238</v>
      </c>
      <c r="N30" s="2">
        <f>IF(O30="US",1,0)</f>
        <v>1</v>
      </c>
      <c r="O30" t="s">
        <v>21</v>
      </c>
    </row>
    <row r="31" spans="1:15">
      <c r="A31" t="s">
        <v>51</v>
      </c>
      <c r="B31" t="s">
        <v>16</v>
      </c>
      <c r="C31">
        <f>IF(B31="east",1,0)</f>
        <v>0</v>
      </c>
      <c r="D31" t="s">
        <v>24</v>
      </c>
      <c r="E31">
        <f>IF(D31="Guard",1,0)</f>
        <v>0</v>
      </c>
      <c r="F31">
        <f>IF(D31="Forward",1,0)</f>
        <v>1</v>
      </c>
      <c r="G31">
        <v>25</v>
      </c>
      <c r="H31">
        <v>66</v>
      </c>
      <c r="I31">
        <v>35.5</v>
      </c>
      <c r="J31">
        <v>5.7</v>
      </c>
      <c r="K31">
        <v>3.8</v>
      </c>
      <c r="L31">
        <v>21.5</v>
      </c>
      <c r="M31" s="1">
        <v>25000000</v>
      </c>
      <c r="N31" s="2">
        <f>IF(O31="US",1,0)</f>
        <v>1</v>
      </c>
      <c r="O31" t="s">
        <v>21</v>
      </c>
    </row>
    <row r="32" spans="1:15">
      <c r="A32" t="s">
        <v>52</v>
      </c>
      <c r="B32" t="s">
        <v>16</v>
      </c>
      <c r="C32">
        <f>IF(B32="east",1,0)</f>
        <v>0</v>
      </c>
      <c r="D32" t="s">
        <v>24</v>
      </c>
      <c r="E32">
        <f>IF(D32="Guard",1,0)</f>
        <v>0</v>
      </c>
      <c r="F32">
        <f>IF(D32="Forward",1,0)</f>
        <v>1</v>
      </c>
      <c r="G32">
        <v>31</v>
      </c>
      <c r="H32">
        <v>79</v>
      </c>
      <c r="I32">
        <v>33</v>
      </c>
      <c r="J32">
        <v>6.7</v>
      </c>
      <c r="K32">
        <v>5</v>
      </c>
      <c r="L32">
        <v>21.1</v>
      </c>
      <c r="M32" s="1">
        <v>30864198</v>
      </c>
      <c r="N32" s="2">
        <f>IF(O32="US",1,0)</f>
        <v>1</v>
      </c>
      <c r="O32" t="s">
        <v>21</v>
      </c>
    </row>
    <row r="33" spans="1:15">
      <c r="A33" t="s">
        <v>53</v>
      </c>
      <c r="B33" t="s">
        <v>16</v>
      </c>
      <c r="C33">
        <f>IF(B33="east",1,0)</f>
        <v>0</v>
      </c>
      <c r="D33" t="s">
        <v>24</v>
      </c>
      <c r="E33">
        <f>IF(D33="Guard",1,0)</f>
        <v>0</v>
      </c>
      <c r="F33">
        <f>IF(D33="Forward",1,0)</f>
        <v>1</v>
      </c>
      <c r="G33">
        <v>25</v>
      </c>
      <c r="H33">
        <v>62</v>
      </c>
      <c r="I33">
        <v>29.7</v>
      </c>
      <c r="J33">
        <v>5.7</v>
      </c>
      <c r="K33">
        <v>3.2</v>
      </c>
      <c r="L33">
        <v>21</v>
      </c>
      <c r="M33" s="1">
        <v>39446090</v>
      </c>
      <c r="N33" s="2">
        <f>IF(O33="US",1,0)</f>
        <v>1</v>
      </c>
      <c r="O33" t="s">
        <v>21</v>
      </c>
    </row>
    <row r="34" spans="1:15">
      <c r="A34" t="s">
        <v>54</v>
      </c>
      <c r="B34" t="s">
        <v>16</v>
      </c>
      <c r="C34">
        <f>IF(B34="east",1,0)</f>
        <v>0</v>
      </c>
      <c r="D34" t="s">
        <v>24</v>
      </c>
      <c r="E34">
        <f>IF(D34="Guard",1,0)</f>
        <v>0</v>
      </c>
      <c r="F34">
        <f>IF(D34="Forward",1,0)</f>
        <v>1</v>
      </c>
      <c r="G34">
        <v>19</v>
      </c>
      <c r="H34">
        <v>70</v>
      </c>
      <c r="I34">
        <v>33.5</v>
      </c>
      <c r="J34">
        <v>6.7</v>
      </c>
      <c r="K34">
        <v>4.5</v>
      </c>
      <c r="L34">
        <v>21</v>
      </c>
      <c r="M34" s="1">
        <v>13825920</v>
      </c>
      <c r="N34" s="2">
        <f>IF(O34="US",1,0)</f>
        <v>1</v>
      </c>
      <c r="O34" t="s">
        <v>21</v>
      </c>
    </row>
    <row r="35" spans="1:15">
      <c r="A35" t="s">
        <v>55</v>
      </c>
      <c r="B35" t="s">
        <v>16</v>
      </c>
      <c r="C35">
        <f>IF(B35="east",1,0)</f>
        <v>0</v>
      </c>
      <c r="D35" t="s">
        <v>24</v>
      </c>
      <c r="E35">
        <f>IF(D35="Guard",1,0)</f>
        <v>0</v>
      </c>
      <c r="F35">
        <f>IF(D35="Forward",1,0)</f>
        <v>1</v>
      </c>
      <c r="G35">
        <v>41</v>
      </c>
      <c r="H35">
        <v>60</v>
      </c>
      <c r="I35">
        <v>33.200000000000003</v>
      </c>
      <c r="J35">
        <v>6.1</v>
      </c>
      <c r="K35">
        <v>7.2</v>
      </c>
      <c r="L35">
        <v>20.9</v>
      </c>
      <c r="M35" s="1">
        <v>52627153</v>
      </c>
      <c r="N35" s="2">
        <f>IF(O35="US",1,0)</f>
        <v>1</v>
      </c>
      <c r="O35" t="s">
        <v>21</v>
      </c>
    </row>
    <row r="36" spans="1:15">
      <c r="A36" t="s">
        <v>56</v>
      </c>
      <c r="B36" t="s">
        <v>23</v>
      </c>
      <c r="C36">
        <f>IF(B36="east",1,0)</f>
        <v>1</v>
      </c>
      <c r="D36" t="s">
        <v>17</v>
      </c>
      <c r="E36">
        <f>IF(D36="Guard",1,0)</f>
        <v>1</v>
      </c>
      <c r="F36">
        <f>IF(D36="Forward",1,0)</f>
        <v>0</v>
      </c>
      <c r="G36">
        <v>27</v>
      </c>
      <c r="H36">
        <v>78</v>
      </c>
      <c r="I36">
        <v>33.4</v>
      </c>
      <c r="J36">
        <v>3.4</v>
      </c>
      <c r="K36">
        <v>3.7</v>
      </c>
      <c r="L36">
        <v>20.8</v>
      </c>
      <c r="M36" s="1">
        <v>15161800</v>
      </c>
      <c r="N36" s="2">
        <f>IF(O36="US",1,0)</f>
        <v>0</v>
      </c>
      <c r="O36" t="s">
        <v>18</v>
      </c>
    </row>
    <row r="37" spans="1:15">
      <c r="A37" t="s">
        <v>57</v>
      </c>
      <c r="B37" t="s">
        <v>16</v>
      </c>
      <c r="C37">
        <f>IF(B37="east",1,0)</f>
        <v>0</v>
      </c>
      <c r="D37" t="s">
        <v>17</v>
      </c>
      <c r="E37">
        <f>IF(D37="Guard",1,0)</f>
        <v>1</v>
      </c>
      <c r="F37">
        <f>IF(D37="Forward",1,0)</f>
        <v>0</v>
      </c>
      <c r="G37">
        <v>22</v>
      </c>
      <c r="H37">
        <v>50</v>
      </c>
      <c r="I37">
        <v>29.4</v>
      </c>
      <c r="J37">
        <v>4.3</v>
      </c>
      <c r="K37">
        <v>2.6</v>
      </c>
      <c r="L37">
        <v>20.8</v>
      </c>
      <c r="M37" s="1">
        <v>8399983</v>
      </c>
      <c r="N37" s="2">
        <f>IF(O37="US",1,0)</f>
        <v>0</v>
      </c>
      <c r="O37" t="s">
        <v>18</v>
      </c>
    </row>
    <row r="38" spans="1:15">
      <c r="A38" t="s">
        <v>58</v>
      </c>
      <c r="B38" t="s">
        <v>23</v>
      </c>
      <c r="C38">
        <f>IF(B38="east",1,0)</f>
        <v>1</v>
      </c>
      <c r="D38" t="s">
        <v>24</v>
      </c>
      <c r="E38">
        <f>IF(D38="Guard",1,0)</f>
        <v>0</v>
      </c>
      <c r="F38">
        <f>IF(D38="Forward",1,0)</f>
        <v>1</v>
      </c>
      <c r="G38">
        <v>24</v>
      </c>
      <c r="H38">
        <v>34</v>
      </c>
      <c r="I38">
        <v>30</v>
      </c>
      <c r="J38">
        <v>5.2</v>
      </c>
      <c r="K38">
        <v>3.3</v>
      </c>
      <c r="L38">
        <v>20.6</v>
      </c>
      <c r="M38" s="1">
        <v>38661750</v>
      </c>
      <c r="N38" s="2">
        <f>IF(O38="US",1,0)</f>
        <v>0</v>
      </c>
      <c r="O38" t="s">
        <v>18</v>
      </c>
    </row>
    <row r="39" spans="1:15">
      <c r="A39" t="s">
        <v>59</v>
      </c>
      <c r="B39" t="s">
        <v>23</v>
      </c>
      <c r="C39">
        <f>IF(B39="east",1,0)</f>
        <v>1</v>
      </c>
      <c r="D39" t="s">
        <v>17</v>
      </c>
      <c r="E39">
        <f>IF(D39="Guard",1,0)</f>
        <v>1</v>
      </c>
      <c r="F39">
        <f>IF(D39="Forward",1,0)</f>
        <v>0</v>
      </c>
      <c r="G39">
        <v>26</v>
      </c>
      <c r="H39">
        <v>33</v>
      </c>
      <c r="I39">
        <v>31.3</v>
      </c>
      <c r="J39">
        <v>4.8</v>
      </c>
      <c r="K39">
        <v>4.0999999999999996</v>
      </c>
      <c r="L39">
        <v>20.5</v>
      </c>
      <c r="M39" s="1">
        <v>31000000</v>
      </c>
      <c r="N39" s="2">
        <f>IF(O39="US",1,0)</f>
        <v>1</v>
      </c>
      <c r="O39" t="s">
        <v>21</v>
      </c>
    </row>
    <row r="40" spans="1:15">
      <c r="A40" t="s">
        <v>60</v>
      </c>
      <c r="B40" t="s">
        <v>23</v>
      </c>
      <c r="C40">
        <f>IF(B40="east",1,0)</f>
        <v>1</v>
      </c>
      <c r="D40" t="s">
        <v>24</v>
      </c>
      <c r="E40">
        <f>IF(D40="Guard",1,0)</f>
        <v>0</v>
      </c>
      <c r="F40">
        <f>IF(D40="Forward",1,0)</f>
        <v>1</v>
      </c>
      <c r="G40">
        <v>32</v>
      </c>
      <c r="H40">
        <v>20</v>
      </c>
      <c r="I40">
        <v>31.3</v>
      </c>
      <c r="J40">
        <v>11.1</v>
      </c>
      <c r="K40">
        <v>2.8</v>
      </c>
      <c r="L40">
        <v>20.399999999999999</v>
      </c>
      <c r="M40" s="1">
        <v>54126450</v>
      </c>
      <c r="N40" s="2">
        <f>IF(O40="US",1,0)</f>
        <v>1</v>
      </c>
      <c r="O40" t="s">
        <v>21</v>
      </c>
    </row>
    <row r="41" spans="1:15">
      <c r="A41" t="s">
        <v>61</v>
      </c>
      <c r="B41" t="s">
        <v>16</v>
      </c>
      <c r="C41">
        <f>IF(B41="east",1,0)</f>
        <v>0</v>
      </c>
      <c r="D41" t="s">
        <v>29</v>
      </c>
      <c r="E41">
        <f>IF(D41="Guard",1,0)</f>
        <v>0</v>
      </c>
      <c r="F41">
        <f>IF(D41="Forward",1,0)</f>
        <v>0</v>
      </c>
      <c r="G41">
        <v>23</v>
      </c>
      <c r="H41">
        <v>72</v>
      </c>
      <c r="I41">
        <v>33.299999999999997</v>
      </c>
      <c r="J41">
        <v>8.9</v>
      </c>
      <c r="K41">
        <v>6.2</v>
      </c>
      <c r="L41">
        <v>20.399999999999999</v>
      </c>
      <c r="M41" s="1">
        <v>33944954</v>
      </c>
      <c r="N41" s="2">
        <f>IF(O41="US",1,0)</f>
        <v>0</v>
      </c>
      <c r="O41" t="s">
        <v>18</v>
      </c>
    </row>
    <row r="42" spans="1:15">
      <c r="A42" t="s">
        <v>62</v>
      </c>
      <c r="B42" t="s">
        <v>16</v>
      </c>
      <c r="C42">
        <f>IF(B42="east",1,0)</f>
        <v>0</v>
      </c>
      <c r="D42" t="s">
        <v>24</v>
      </c>
      <c r="E42">
        <f>IF(D42="Guard",1,0)</f>
        <v>0</v>
      </c>
      <c r="F42">
        <f>IF(D42="Forward",1,0)</f>
        <v>1</v>
      </c>
      <c r="G42">
        <v>30</v>
      </c>
      <c r="H42">
        <v>56</v>
      </c>
      <c r="I42">
        <v>30.4</v>
      </c>
      <c r="J42">
        <v>3.6</v>
      </c>
      <c r="K42">
        <v>1.8</v>
      </c>
      <c r="L42">
        <v>20.2</v>
      </c>
      <c r="M42" s="1">
        <v>21124110</v>
      </c>
      <c r="N42" s="2">
        <f>IF(O42="US",1,0)</f>
        <v>0</v>
      </c>
      <c r="O42" t="s">
        <v>18</v>
      </c>
    </row>
    <row r="43" spans="1:15">
      <c r="A43" t="s">
        <v>63</v>
      </c>
      <c r="B43" t="s">
        <v>23</v>
      </c>
      <c r="C43">
        <f>IF(B43="east",1,0)</f>
        <v>1</v>
      </c>
      <c r="D43" t="s">
        <v>24</v>
      </c>
      <c r="E43">
        <f>IF(D43="Guard",1,0)</f>
        <v>0</v>
      </c>
      <c r="F43">
        <f>IF(D43="Forward",1,0)</f>
        <v>1</v>
      </c>
      <c r="G43">
        <v>23</v>
      </c>
      <c r="H43">
        <v>65</v>
      </c>
      <c r="I43">
        <v>30.3</v>
      </c>
      <c r="J43">
        <v>4.9000000000000004</v>
      </c>
      <c r="K43">
        <v>3.3</v>
      </c>
      <c r="L43">
        <v>20.2</v>
      </c>
      <c r="M43" s="1">
        <v>11968800</v>
      </c>
      <c r="N43" s="2">
        <f>IF(O43="US",1,0)</f>
        <v>1</v>
      </c>
      <c r="O43" t="s">
        <v>21</v>
      </c>
    </row>
    <row r="44" spans="1:15">
      <c r="A44" t="s">
        <v>64</v>
      </c>
      <c r="B44" t="s">
        <v>23</v>
      </c>
      <c r="C44">
        <f>IF(B44="east",1,0)</f>
        <v>1</v>
      </c>
      <c r="D44" t="s">
        <v>29</v>
      </c>
      <c r="E44">
        <f>IF(D44="Guard",1,0)</f>
        <v>0</v>
      </c>
      <c r="F44">
        <f>IF(D44="Forward",1,0)</f>
        <v>0</v>
      </c>
      <c r="G44">
        <v>30</v>
      </c>
      <c r="H44">
        <v>75</v>
      </c>
      <c r="I44">
        <v>31</v>
      </c>
      <c r="J44">
        <v>11.9</v>
      </c>
      <c r="K44">
        <v>3</v>
      </c>
      <c r="L44">
        <v>20.100000000000001</v>
      </c>
      <c r="M44" s="1">
        <v>53142264</v>
      </c>
      <c r="N44" s="2">
        <f>IF(O44="US",1,0)</f>
        <v>1</v>
      </c>
      <c r="O44" t="s">
        <v>21</v>
      </c>
    </row>
    <row r="45" spans="1:15">
      <c r="A45" t="s">
        <v>65</v>
      </c>
      <c r="B45" t="s">
        <v>23</v>
      </c>
      <c r="C45">
        <f>IF(B45="east",1,0)</f>
        <v>1</v>
      </c>
      <c r="D45" t="s">
        <v>17</v>
      </c>
      <c r="E45">
        <f>IF(D45="Guard",1,0)</f>
        <v>1</v>
      </c>
      <c r="F45">
        <f>IF(D45="Forward",1,0)</f>
        <v>0</v>
      </c>
      <c r="G45">
        <v>24</v>
      </c>
      <c r="H45">
        <v>72</v>
      </c>
      <c r="I45">
        <v>28</v>
      </c>
      <c r="J45">
        <v>4.8</v>
      </c>
      <c r="K45">
        <v>7.1</v>
      </c>
      <c r="L45">
        <v>20.100000000000001</v>
      </c>
      <c r="M45" s="1">
        <v>37958760</v>
      </c>
      <c r="N45" s="2">
        <f>IF(O45="US",1,0)</f>
        <v>1</v>
      </c>
      <c r="O45" t="s">
        <v>21</v>
      </c>
    </row>
    <row r="46" spans="1:15">
      <c r="A46" t="s">
        <v>66</v>
      </c>
      <c r="B46" t="s">
        <v>23</v>
      </c>
      <c r="C46">
        <f>IF(B46="east",1,0)</f>
        <v>1</v>
      </c>
      <c r="D46" t="s">
        <v>29</v>
      </c>
      <c r="E46">
        <f>IF(D46="Guard",1,0)</f>
        <v>0</v>
      </c>
      <c r="F46">
        <f>IF(D46="Forward",1,0)</f>
        <v>0</v>
      </c>
      <c r="G46">
        <v>28</v>
      </c>
      <c r="H46">
        <v>73</v>
      </c>
      <c r="I46">
        <v>32.4</v>
      </c>
      <c r="J46">
        <v>10</v>
      </c>
      <c r="K46">
        <v>3.2</v>
      </c>
      <c r="L46">
        <v>20.100000000000001</v>
      </c>
      <c r="M46" s="1">
        <v>37096620</v>
      </c>
      <c r="N46" s="2">
        <f>IF(O46="US",1,0)</f>
        <v>1</v>
      </c>
      <c r="O46" t="s">
        <v>21</v>
      </c>
    </row>
    <row r="47" spans="1:15">
      <c r="A47" t="s">
        <v>67</v>
      </c>
      <c r="B47" t="s">
        <v>23</v>
      </c>
      <c r="C47">
        <f>IF(B47="east",1,0)</f>
        <v>1</v>
      </c>
      <c r="D47" t="s">
        <v>17</v>
      </c>
      <c r="E47">
        <f>IF(D47="Guard",1,0)</f>
        <v>1</v>
      </c>
      <c r="F47">
        <f>IF(D47="Forward",1,0)</f>
        <v>0</v>
      </c>
      <c r="G47">
        <v>27</v>
      </c>
      <c r="H47">
        <v>82</v>
      </c>
      <c r="I47">
        <v>33.6</v>
      </c>
      <c r="J47">
        <v>4.0999999999999996</v>
      </c>
      <c r="K47">
        <v>4.0999999999999996</v>
      </c>
      <c r="L47">
        <v>20.100000000000001</v>
      </c>
      <c r="M47" s="1">
        <v>36725670</v>
      </c>
      <c r="N47" s="2">
        <f>IF(O47="US",1,0)</f>
        <v>1</v>
      </c>
      <c r="O47" t="s">
        <v>21</v>
      </c>
    </row>
    <row r="48" spans="1:15">
      <c r="A48" t="s">
        <v>68</v>
      </c>
      <c r="B48" t="s">
        <v>16</v>
      </c>
      <c r="C48">
        <f>IF(B48="east",1,0)</f>
        <v>0</v>
      </c>
      <c r="D48" t="s">
        <v>24</v>
      </c>
      <c r="E48">
        <f>IF(D48="Guard",1,0)</f>
        <v>0</v>
      </c>
      <c r="F48">
        <f>IF(D48="Forward",1,0)</f>
        <v>1</v>
      </c>
      <c r="G48">
        <v>36</v>
      </c>
      <c r="H48">
        <v>38</v>
      </c>
      <c r="I48">
        <v>31.1</v>
      </c>
      <c r="J48">
        <v>5.6</v>
      </c>
      <c r="K48">
        <v>4.9000000000000004</v>
      </c>
      <c r="L48">
        <v>20</v>
      </c>
      <c r="M48" s="1">
        <v>54126450</v>
      </c>
      <c r="N48" s="2">
        <f>IF(O48="US",1,0)</f>
        <v>1</v>
      </c>
      <c r="O48" t="s">
        <v>21</v>
      </c>
    </row>
    <row r="49" spans="1:15">
      <c r="A49" t="s">
        <v>69</v>
      </c>
      <c r="B49" t="s">
        <v>16</v>
      </c>
      <c r="C49">
        <f>IF(B49="east",1,0)</f>
        <v>0</v>
      </c>
      <c r="D49" t="s">
        <v>17</v>
      </c>
      <c r="E49">
        <f>IF(D49="Guard",1,0)</f>
        <v>1</v>
      </c>
      <c r="F49">
        <f>IF(D49="Forward",1,0)</f>
        <v>0</v>
      </c>
      <c r="G49">
        <v>28</v>
      </c>
      <c r="H49">
        <v>15</v>
      </c>
      <c r="I49">
        <v>22.6</v>
      </c>
      <c r="J49">
        <v>2.8</v>
      </c>
      <c r="K49">
        <v>5.7</v>
      </c>
      <c r="L49">
        <v>19.7</v>
      </c>
      <c r="M49" s="1">
        <v>8781000</v>
      </c>
      <c r="N49" s="2">
        <f>IF(O49="US",1,0)</f>
        <v>1</v>
      </c>
      <c r="O49" t="s">
        <v>21</v>
      </c>
    </row>
    <row r="50" spans="1:15">
      <c r="A50" t="s">
        <v>70</v>
      </c>
      <c r="B50" t="s">
        <v>16</v>
      </c>
      <c r="C50">
        <f>IF(B50="east",1,0)</f>
        <v>0</v>
      </c>
      <c r="D50" t="s">
        <v>17</v>
      </c>
      <c r="E50">
        <f>IF(D50="Guard",1,0)</f>
        <v>1</v>
      </c>
      <c r="F50">
        <f>IF(D50="Forward",1,0)</f>
        <v>0</v>
      </c>
      <c r="G50">
        <v>26</v>
      </c>
      <c r="H50">
        <v>20</v>
      </c>
      <c r="I50">
        <v>28.5</v>
      </c>
      <c r="J50">
        <v>3.3</v>
      </c>
      <c r="K50">
        <v>8.1</v>
      </c>
      <c r="L50">
        <v>19.5</v>
      </c>
      <c r="M50" s="1">
        <v>39446090</v>
      </c>
      <c r="N50" s="2">
        <f>IF(O50="US",1,0)</f>
        <v>1</v>
      </c>
      <c r="O50" t="s">
        <v>21</v>
      </c>
    </row>
    <row r="51" spans="1:15">
      <c r="A51" t="s">
        <v>71</v>
      </c>
      <c r="B51" t="s">
        <v>23</v>
      </c>
      <c r="C51">
        <f>IF(B51="east",1,0)</f>
        <v>1</v>
      </c>
      <c r="D51" t="s">
        <v>29</v>
      </c>
      <c r="E51">
        <f>IF(D51="Guard",1,0)</f>
        <v>0</v>
      </c>
      <c r="F51">
        <f>IF(D51="Forward",1,0)</f>
        <v>0</v>
      </c>
      <c r="G51">
        <v>22</v>
      </c>
      <c r="H51">
        <v>70</v>
      </c>
      <c r="I51">
        <v>28.2</v>
      </c>
      <c r="J51">
        <v>10.5</v>
      </c>
      <c r="K51">
        <v>2</v>
      </c>
      <c r="L51">
        <v>19.5</v>
      </c>
      <c r="M51" s="1">
        <v>6483144</v>
      </c>
      <c r="N51" s="2">
        <f>IF(O51="US",1,0)</f>
        <v>1</v>
      </c>
      <c r="O51" t="s">
        <v>21</v>
      </c>
    </row>
    <row r="52" spans="1:15">
      <c r="A52" t="s">
        <v>72</v>
      </c>
      <c r="B52" t="s">
        <v>16</v>
      </c>
      <c r="C52">
        <f>IF(B52="east",1,0)</f>
        <v>0</v>
      </c>
      <c r="D52" t="s">
        <v>29</v>
      </c>
      <c r="E52">
        <f>IF(D52="Guard",1,0)</f>
        <v>0</v>
      </c>
      <c r="F52">
        <f>IF(D52="Forward",1,0)</f>
        <v>0</v>
      </c>
      <c r="G52">
        <v>26</v>
      </c>
      <c r="H52">
        <v>48</v>
      </c>
      <c r="I52">
        <v>30.3</v>
      </c>
      <c r="J52">
        <v>5.7</v>
      </c>
      <c r="K52">
        <v>2</v>
      </c>
      <c r="L52">
        <v>19.399999999999999</v>
      </c>
      <c r="M52" s="1">
        <v>35000000</v>
      </c>
      <c r="N52" s="2">
        <f>IF(O52="US",1,0)</f>
        <v>1</v>
      </c>
      <c r="O52" t="s">
        <v>21</v>
      </c>
    </row>
    <row r="53" spans="1:15">
      <c r="A53" t="s">
        <v>73</v>
      </c>
      <c r="B53" t="s">
        <v>23</v>
      </c>
      <c r="C53">
        <f>IF(B53="east",1,0)</f>
        <v>1</v>
      </c>
      <c r="D53" t="s">
        <v>24</v>
      </c>
      <c r="E53">
        <f>IF(D53="Guard",1,0)</f>
        <v>0</v>
      </c>
      <c r="F53">
        <f>IF(D53="Forward",1,0)</f>
        <v>1</v>
      </c>
      <c r="G53">
        <v>25</v>
      </c>
      <c r="H53">
        <v>57</v>
      </c>
      <c r="I53">
        <v>30.3</v>
      </c>
      <c r="J53">
        <v>5.3</v>
      </c>
      <c r="K53">
        <v>3.3</v>
      </c>
      <c r="L53">
        <v>19.3</v>
      </c>
      <c r="M53" s="1">
        <v>27705357</v>
      </c>
      <c r="N53" s="2">
        <f>IF(O53="US",1,0)</f>
        <v>0</v>
      </c>
      <c r="O53" t="s">
        <v>18</v>
      </c>
    </row>
    <row r="54" spans="1:15">
      <c r="A54" t="s">
        <v>74</v>
      </c>
      <c r="B54" t="s">
        <v>16</v>
      </c>
      <c r="C54">
        <f>IF(B54="east",1,0)</f>
        <v>0</v>
      </c>
      <c r="D54" t="s">
        <v>17</v>
      </c>
      <c r="E54">
        <f>IF(D54="Guard",1,0)</f>
        <v>1</v>
      </c>
      <c r="F54">
        <f>IF(D54="Forward",1,0)</f>
        <v>0</v>
      </c>
      <c r="G54">
        <v>30</v>
      </c>
      <c r="H54">
        <v>39</v>
      </c>
      <c r="I54">
        <v>31.4</v>
      </c>
      <c r="J54">
        <v>2.8</v>
      </c>
      <c r="K54">
        <v>2.2999999999999998</v>
      </c>
      <c r="L54">
        <v>19.2</v>
      </c>
      <c r="M54" s="1">
        <v>45999660</v>
      </c>
      <c r="N54" s="2">
        <f>IF(O54="US",1,0)</f>
        <v>1</v>
      </c>
      <c r="O54" t="s">
        <v>21</v>
      </c>
    </row>
    <row r="55" spans="1:15">
      <c r="A55" t="s">
        <v>75</v>
      </c>
      <c r="B55" t="s">
        <v>16</v>
      </c>
      <c r="C55">
        <f>IF(B55="east",1,0)</f>
        <v>0</v>
      </c>
      <c r="D55" t="s">
        <v>17</v>
      </c>
      <c r="E55">
        <f>IF(D55="Guard",1,0)</f>
        <v>1</v>
      </c>
      <c r="F55">
        <f>IF(D55="Forward",1,0)</f>
        <v>0</v>
      </c>
      <c r="G55">
        <v>26</v>
      </c>
      <c r="H55">
        <v>45</v>
      </c>
      <c r="I55">
        <v>29.9</v>
      </c>
      <c r="J55">
        <v>2.4</v>
      </c>
      <c r="K55">
        <v>6.7</v>
      </c>
      <c r="L55">
        <v>18.8</v>
      </c>
      <c r="M55" s="1">
        <v>39446090</v>
      </c>
      <c r="N55" s="2">
        <f>IF(O55="US",1,0)</f>
        <v>1</v>
      </c>
      <c r="O55" t="s">
        <v>21</v>
      </c>
    </row>
    <row r="56" spans="1:15">
      <c r="A56" t="s">
        <v>76</v>
      </c>
      <c r="B56" t="s">
        <v>23</v>
      </c>
      <c r="C56">
        <f>IF(B56="east",1,0)</f>
        <v>1</v>
      </c>
      <c r="D56" t="s">
        <v>17</v>
      </c>
      <c r="E56">
        <f>IF(D56="Guard",1,0)</f>
        <v>1</v>
      </c>
      <c r="F56">
        <f>IF(D56="Forward",1,0)</f>
        <v>0</v>
      </c>
      <c r="G56">
        <v>34</v>
      </c>
      <c r="H56">
        <v>76</v>
      </c>
      <c r="I56">
        <v>29.8</v>
      </c>
      <c r="J56">
        <v>3.3</v>
      </c>
      <c r="K56">
        <v>3.9</v>
      </c>
      <c r="L56">
        <v>18.7</v>
      </c>
      <c r="M56" s="1">
        <v>30666666</v>
      </c>
      <c r="N56" s="2">
        <f>IF(O56="US",1,0)</f>
        <v>1</v>
      </c>
      <c r="O56" t="s">
        <v>21</v>
      </c>
    </row>
    <row r="57" spans="1:15">
      <c r="A57" t="s">
        <v>77</v>
      </c>
      <c r="B57" t="s">
        <v>16</v>
      </c>
      <c r="C57">
        <f>IF(B57="east",1,0)</f>
        <v>0</v>
      </c>
      <c r="D57" t="s">
        <v>17</v>
      </c>
      <c r="E57">
        <f>IF(D57="Guard",1,0)</f>
        <v>1</v>
      </c>
      <c r="F57">
        <f>IF(D57="Forward",1,0)</f>
        <v>0</v>
      </c>
      <c r="G57">
        <v>28</v>
      </c>
      <c r="H57">
        <v>72</v>
      </c>
      <c r="I57">
        <v>31</v>
      </c>
      <c r="J57">
        <v>3.8</v>
      </c>
      <c r="K57">
        <v>6.2</v>
      </c>
      <c r="L57">
        <v>18.600000000000001</v>
      </c>
      <c r="M57" s="1">
        <v>37096620</v>
      </c>
      <c r="N57" s="2">
        <f>IF(O57="US",1,0)</f>
        <v>1</v>
      </c>
      <c r="O57" t="s">
        <v>21</v>
      </c>
    </row>
    <row r="58" spans="1:15">
      <c r="A58" t="s">
        <v>78</v>
      </c>
      <c r="B58" t="s">
        <v>16</v>
      </c>
      <c r="C58">
        <f>IF(B58="east",1,0)</f>
        <v>0</v>
      </c>
      <c r="D58" t="s">
        <v>24</v>
      </c>
      <c r="E58">
        <f>IF(D58="Guard",1,0)</f>
        <v>0</v>
      </c>
      <c r="F58">
        <f>IF(D58="Forward",1,0)</f>
        <v>1</v>
      </c>
      <c r="G58">
        <v>31</v>
      </c>
      <c r="H58">
        <v>57</v>
      </c>
      <c r="I58">
        <v>29.7</v>
      </c>
      <c r="J58">
        <v>3.5</v>
      </c>
      <c r="K58">
        <v>2.1</v>
      </c>
      <c r="L58">
        <v>18.600000000000001</v>
      </c>
      <c r="M58" s="1">
        <v>32000001</v>
      </c>
      <c r="N58" s="2">
        <f>IF(O58="US",1,0)</f>
        <v>1</v>
      </c>
      <c r="O58" t="s">
        <v>21</v>
      </c>
    </row>
    <row r="59" spans="1:15">
      <c r="A59" t="s">
        <v>79</v>
      </c>
      <c r="B59" t="s">
        <v>23</v>
      </c>
      <c r="C59">
        <f>IF(B59="east",1,0)</f>
        <v>1</v>
      </c>
      <c r="D59" t="s">
        <v>24</v>
      </c>
      <c r="E59">
        <f>IF(D59="Guard",1,0)</f>
        <v>0</v>
      </c>
      <c r="F59">
        <f>IF(D59="Forward",1,0)</f>
        <v>1</v>
      </c>
      <c r="G59">
        <v>20</v>
      </c>
      <c r="H59">
        <v>81</v>
      </c>
      <c r="I59">
        <v>31.5</v>
      </c>
      <c r="J59">
        <v>5.3</v>
      </c>
      <c r="K59">
        <v>3.4</v>
      </c>
      <c r="L59">
        <v>18.5</v>
      </c>
      <c r="M59" s="1">
        <v>10015680</v>
      </c>
      <c r="N59" s="2">
        <f>IF(O59="US",1,0)</f>
        <v>1</v>
      </c>
      <c r="O59" t="s">
        <v>21</v>
      </c>
    </row>
    <row r="60" spans="1:15">
      <c r="A60" t="s">
        <v>80</v>
      </c>
      <c r="B60" t="s">
        <v>16</v>
      </c>
      <c r="C60">
        <f>IF(B60="east",1,0)</f>
        <v>0</v>
      </c>
      <c r="D60" t="s">
        <v>24</v>
      </c>
      <c r="E60">
        <f>IF(D60="Guard",1,0)</f>
        <v>0</v>
      </c>
      <c r="F60">
        <f>IF(D60="Forward",1,0)</f>
        <v>1</v>
      </c>
      <c r="G60">
        <v>36</v>
      </c>
      <c r="H60">
        <v>77</v>
      </c>
      <c r="I60">
        <v>31.2</v>
      </c>
      <c r="J60">
        <v>2.9</v>
      </c>
      <c r="K60">
        <v>4.0999999999999996</v>
      </c>
      <c r="L60">
        <v>18.399999999999999</v>
      </c>
      <c r="M60" s="1">
        <v>24570000</v>
      </c>
      <c r="N60" s="2">
        <f>IF(O60="US",1,0)</f>
        <v>1</v>
      </c>
      <c r="O60" t="s">
        <v>21</v>
      </c>
    </row>
    <row r="61" spans="1:15">
      <c r="A61" t="s">
        <v>81</v>
      </c>
      <c r="B61" t="s">
        <v>16</v>
      </c>
      <c r="C61">
        <f>IF(B61="east",1,0)</f>
        <v>0</v>
      </c>
      <c r="D61" t="s">
        <v>17</v>
      </c>
      <c r="E61">
        <f>IF(D61="Guard",1,0)</f>
        <v>1</v>
      </c>
      <c r="F61">
        <f>IF(D61="Forward",1,0)</f>
        <v>0</v>
      </c>
      <c r="G61">
        <v>23</v>
      </c>
      <c r="H61">
        <v>79</v>
      </c>
      <c r="I61">
        <v>37.4</v>
      </c>
      <c r="J61">
        <v>7.8</v>
      </c>
      <c r="K61">
        <v>5.3</v>
      </c>
      <c r="L61">
        <v>18.3</v>
      </c>
      <c r="M61" s="1">
        <v>9690600</v>
      </c>
      <c r="N61" s="2">
        <f>IF(O61="US",1,0)</f>
        <v>1</v>
      </c>
      <c r="O61" t="s">
        <v>21</v>
      </c>
    </row>
    <row r="62" spans="1:15">
      <c r="A62" t="s">
        <v>82</v>
      </c>
      <c r="B62" t="s">
        <v>23</v>
      </c>
      <c r="C62">
        <f>IF(B62="east",1,0)</f>
        <v>1</v>
      </c>
      <c r="D62" t="s">
        <v>24</v>
      </c>
      <c r="E62">
        <f>IF(D62="Guard",1,0)</f>
        <v>0</v>
      </c>
      <c r="F62">
        <f>IF(D62="Forward",1,0)</f>
        <v>1</v>
      </c>
      <c r="G62">
        <v>24</v>
      </c>
      <c r="H62">
        <v>65</v>
      </c>
      <c r="I62">
        <v>31.9</v>
      </c>
      <c r="J62">
        <v>9</v>
      </c>
      <c r="K62">
        <v>3.6</v>
      </c>
      <c r="L62">
        <v>18.2</v>
      </c>
      <c r="M62" s="1">
        <v>46394100</v>
      </c>
      <c r="N62" s="2">
        <f>IF(O62="US",1,0)</f>
        <v>1</v>
      </c>
      <c r="O62" t="s">
        <v>21</v>
      </c>
    </row>
    <row r="63" spans="1:15">
      <c r="A63" t="s">
        <v>83</v>
      </c>
      <c r="B63" t="s">
        <v>23</v>
      </c>
      <c r="C63">
        <f>IF(B63="east",1,0)</f>
        <v>1</v>
      </c>
      <c r="D63" t="s">
        <v>24</v>
      </c>
      <c r="E63">
        <f>IF(D63="Guard",1,0)</f>
        <v>0</v>
      </c>
      <c r="F63">
        <f>IF(D63="Forward",1,0)</f>
        <v>1</v>
      </c>
      <c r="G63">
        <v>24</v>
      </c>
      <c r="H63">
        <v>80</v>
      </c>
      <c r="I63">
        <v>33.5</v>
      </c>
      <c r="J63">
        <v>7.5</v>
      </c>
      <c r="K63">
        <v>5.9</v>
      </c>
      <c r="L63">
        <v>18.100000000000001</v>
      </c>
      <c r="M63" s="1">
        <v>38661750</v>
      </c>
      <c r="N63" s="2">
        <f>IF(O63="US",1,0)</f>
        <v>1</v>
      </c>
      <c r="O63" t="s">
        <v>21</v>
      </c>
    </row>
    <row r="64" spans="1:15">
      <c r="A64" t="s">
        <v>84</v>
      </c>
      <c r="B64" t="s">
        <v>23</v>
      </c>
      <c r="C64">
        <f>IF(B64="east",1,0)</f>
        <v>1</v>
      </c>
      <c r="D64" t="s">
        <v>17</v>
      </c>
      <c r="E64">
        <f>IF(D64="Guard",1,0)</f>
        <v>1</v>
      </c>
      <c r="F64">
        <f>IF(D64="Forward",1,0)</f>
        <v>0</v>
      </c>
      <c r="G64">
        <v>27</v>
      </c>
      <c r="H64">
        <v>15</v>
      </c>
      <c r="I64">
        <v>25.6</v>
      </c>
      <c r="J64">
        <v>2</v>
      </c>
      <c r="K64">
        <v>8</v>
      </c>
      <c r="L64">
        <v>17.899999999999999</v>
      </c>
      <c r="M64" s="1">
        <v>45999660</v>
      </c>
      <c r="N64" s="2">
        <f>IF(O64="US",1,0)</f>
        <v>1</v>
      </c>
      <c r="O64" t="s">
        <v>21</v>
      </c>
    </row>
    <row r="65" spans="1:15">
      <c r="A65" t="s">
        <v>85</v>
      </c>
      <c r="B65" t="s">
        <v>16</v>
      </c>
      <c r="C65">
        <f>IF(B65="east",1,0)</f>
        <v>0</v>
      </c>
      <c r="D65" t="s">
        <v>17</v>
      </c>
      <c r="E65">
        <f>IF(D65="Guard",1,0)</f>
        <v>1</v>
      </c>
      <c r="F65">
        <f>IF(D65="Forward",1,0)</f>
        <v>0</v>
      </c>
      <c r="G65">
        <v>23</v>
      </c>
      <c r="H65">
        <v>32</v>
      </c>
      <c r="I65">
        <v>25.9</v>
      </c>
      <c r="J65">
        <v>3.6</v>
      </c>
      <c r="K65">
        <v>2.8</v>
      </c>
      <c r="L65">
        <v>17.8</v>
      </c>
      <c r="M65" s="1">
        <v>33333333</v>
      </c>
      <c r="N65" s="2">
        <f>IF(O65="US",1,0)</f>
        <v>1</v>
      </c>
      <c r="O65" t="s">
        <v>21</v>
      </c>
    </row>
    <row r="66" spans="1:15">
      <c r="A66" t="s">
        <v>86</v>
      </c>
      <c r="B66" t="s">
        <v>16</v>
      </c>
      <c r="C66">
        <f>IF(B66="east",1,0)</f>
        <v>0</v>
      </c>
      <c r="D66" t="s">
        <v>24</v>
      </c>
      <c r="E66">
        <f>IF(D66="Guard",1,0)</f>
        <v>0</v>
      </c>
      <c r="F66">
        <f>IF(D66="Forward",1,0)</f>
        <v>1</v>
      </c>
      <c r="G66">
        <v>26</v>
      </c>
      <c r="H66">
        <v>72</v>
      </c>
      <c r="I66">
        <v>31.2</v>
      </c>
      <c r="J66">
        <v>5.6</v>
      </c>
      <c r="K66">
        <v>2.5</v>
      </c>
      <c r="L66">
        <v>17.7</v>
      </c>
      <c r="M66" s="1">
        <v>6118644</v>
      </c>
      <c r="N66" s="2">
        <f>IF(O66="US",1,0)</f>
        <v>1</v>
      </c>
      <c r="O66" t="s">
        <v>21</v>
      </c>
    </row>
    <row r="67" spans="1:15">
      <c r="A67" t="s">
        <v>87</v>
      </c>
      <c r="B67" t="s">
        <v>16</v>
      </c>
      <c r="C67">
        <f>IF(B67="east",1,0)</f>
        <v>0</v>
      </c>
      <c r="D67" t="s">
        <v>24</v>
      </c>
      <c r="E67">
        <f>IF(D67="Guard",1,0)</f>
        <v>0</v>
      </c>
      <c r="F67">
        <f>IF(D67="Forward",1,0)</f>
        <v>1</v>
      </c>
      <c r="G67">
        <v>23</v>
      </c>
      <c r="H67">
        <v>54</v>
      </c>
      <c r="I67">
        <v>30</v>
      </c>
      <c r="J67">
        <v>5.4</v>
      </c>
      <c r="K67">
        <v>2.4</v>
      </c>
      <c r="L67">
        <v>17.600000000000001</v>
      </c>
      <c r="M67" s="1">
        <v>9187573</v>
      </c>
      <c r="N67" s="2">
        <f>IF(O67="US",1,0)</f>
        <v>0</v>
      </c>
      <c r="O67" t="s">
        <v>18</v>
      </c>
    </row>
    <row r="68" spans="1:15">
      <c r="A68" t="s">
        <v>88</v>
      </c>
      <c r="B68" t="s">
        <v>23</v>
      </c>
      <c r="C68">
        <f>IF(B68="east",1,0)</f>
        <v>1</v>
      </c>
      <c r="D68" t="s">
        <v>17</v>
      </c>
      <c r="E68">
        <f>IF(D68="Guard",1,0)</f>
        <v>1</v>
      </c>
      <c r="F68">
        <f>IF(D68="Forward",1,0)</f>
        <v>0</v>
      </c>
      <c r="G68">
        <v>25</v>
      </c>
      <c r="H68">
        <v>50</v>
      </c>
      <c r="I68">
        <v>25</v>
      </c>
      <c r="J68">
        <v>3.4</v>
      </c>
      <c r="K68">
        <v>4</v>
      </c>
      <c r="L68">
        <v>17.399999999999999</v>
      </c>
      <c r="M68" s="1">
        <v>12888889</v>
      </c>
      <c r="N68" s="2">
        <f>IF(O68="US",1,0)</f>
        <v>1</v>
      </c>
      <c r="O68" t="s">
        <v>21</v>
      </c>
    </row>
    <row r="69" spans="1:15">
      <c r="A69" t="s">
        <v>89</v>
      </c>
      <c r="B69" t="s">
        <v>23</v>
      </c>
      <c r="C69">
        <f>IF(B69="east",1,0)</f>
        <v>1</v>
      </c>
      <c r="D69" t="s">
        <v>17</v>
      </c>
      <c r="E69">
        <f>IF(D69="Guard",1,0)</f>
        <v>1</v>
      </c>
      <c r="F69">
        <f>IF(D69="Forward",1,0)</f>
        <v>0</v>
      </c>
      <c r="G69">
        <v>25</v>
      </c>
      <c r="H69">
        <v>38</v>
      </c>
      <c r="I69">
        <v>33.200000000000003</v>
      </c>
      <c r="J69">
        <v>5.2</v>
      </c>
      <c r="K69">
        <v>7.4</v>
      </c>
      <c r="L69">
        <v>17.399999999999999</v>
      </c>
      <c r="M69" s="1">
        <v>5134000</v>
      </c>
      <c r="N69" s="2">
        <f>IF(O69="US",1,0)</f>
        <v>1</v>
      </c>
      <c r="O69" t="s">
        <v>21</v>
      </c>
    </row>
    <row r="70" spans="1:15">
      <c r="A70" t="s">
        <v>90</v>
      </c>
      <c r="B70" t="s">
        <v>23</v>
      </c>
      <c r="C70">
        <f>IF(B70="east",1,0)</f>
        <v>1</v>
      </c>
      <c r="D70" t="s">
        <v>24</v>
      </c>
      <c r="E70">
        <f>IF(D70="Guard",1,0)</f>
        <v>0</v>
      </c>
      <c r="F70">
        <f>IF(D70="Forward",1,0)</f>
        <v>1</v>
      </c>
      <c r="G70">
        <v>35</v>
      </c>
      <c r="H70">
        <v>37</v>
      </c>
      <c r="I70">
        <v>30.7</v>
      </c>
      <c r="J70">
        <v>5.3</v>
      </c>
      <c r="K70">
        <v>3.6</v>
      </c>
      <c r="L70">
        <v>17.3</v>
      </c>
      <c r="M70" s="1">
        <v>51666090</v>
      </c>
      <c r="N70" s="2">
        <f>IF(O70="US",1,0)</f>
        <v>1</v>
      </c>
      <c r="O70" t="s">
        <v>21</v>
      </c>
    </row>
    <row r="71" spans="1:15">
      <c r="A71" t="s">
        <v>91</v>
      </c>
      <c r="B71" t="s">
        <v>23</v>
      </c>
      <c r="C71">
        <f>IF(B71="east",1,0)</f>
        <v>1</v>
      </c>
      <c r="D71" t="s">
        <v>17</v>
      </c>
      <c r="E71">
        <f>IF(D71="Guard",1,0)</f>
        <v>1</v>
      </c>
      <c r="F71">
        <f>IF(D71="Forward",1,0)</f>
        <v>0</v>
      </c>
      <c r="G71">
        <v>23</v>
      </c>
      <c r="H71">
        <v>74</v>
      </c>
      <c r="I71">
        <v>32.1</v>
      </c>
      <c r="J71">
        <v>4.5999999999999996</v>
      </c>
      <c r="K71">
        <v>5.6</v>
      </c>
      <c r="L71">
        <v>17.3</v>
      </c>
      <c r="M71" s="1">
        <v>4000000</v>
      </c>
      <c r="N71" s="2">
        <f>IF(O71="US",1,0)</f>
        <v>1</v>
      </c>
      <c r="O71" t="s">
        <v>21</v>
      </c>
    </row>
    <row r="72" spans="1:15">
      <c r="A72" t="s">
        <v>92</v>
      </c>
      <c r="B72" t="s">
        <v>23</v>
      </c>
      <c r="C72">
        <f>IF(B72="east",1,0)</f>
        <v>1</v>
      </c>
      <c r="D72" t="s">
        <v>24</v>
      </c>
      <c r="E72">
        <f>IF(D72="Guard",1,0)</f>
        <v>0</v>
      </c>
      <c r="F72">
        <f>IF(D72="Forward",1,0)</f>
        <v>1</v>
      </c>
      <c r="G72">
        <v>27</v>
      </c>
      <c r="H72">
        <v>77</v>
      </c>
      <c r="I72">
        <v>31</v>
      </c>
      <c r="J72">
        <v>5.8</v>
      </c>
      <c r="K72">
        <v>3.2</v>
      </c>
      <c r="L72">
        <v>17.100000000000001</v>
      </c>
      <c r="M72" s="1">
        <v>25000000</v>
      </c>
      <c r="N72" s="2">
        <f>IF(O72="US",1,0)</f>
        <v>1</v>
      </c>
      <c r="O72" t="s">
        <v>21</v>
      </c>
    </row>
    <row r="73" spans="1:15">
      <c r="A73" t="s">
        <v>93</v>
      </c>
      <c r="B73" t="s">
        <v>16</v>
      </c>
      <c r="C73">
        <f>IF(B73="east",1,0)</f>
        <v>0</v>
      </c>
      <c r="D73" t="s">
        <v>24</v>
      </c>
      <c r="E73">
        <f>IF(D73="Guard",1,0)</f>
        <v>0</v>
      </c>
      <c r="F73">
        <f>IF(D73="Forward",1,0)</f>
        <v>1</v>
      </c>
      <c r="G73">
        <v>23</v>
      </c>
      <c r="H73">
        <v>69</v>
      </c>
      <c r="I73">
        <v>28.9</v>
      </c>
      <c r="J73">
        <v>8.9</v>
      </c>
      <c r="K73">
        <v>1.7</v>
      </c>
      <c r="L73">
        <v>17.100000000000001</v>
      </c>
      <c r="M73" s="1">
        <v>13731368</v>
      </c>
      <c r="N73" s="2">
        <f>IF(O73="US",1,0)</f>
        <v>1</v>
      </c>
      <c r="O73" t="s">
        <v>21</v>
      </c>
    </row>
    <row r="74" spans="1:15">
      <c r="A74" t="s">
        <v>94</v>
      </c>
      <c r="B74" t="s">
        <v>16</v>
      </c>
      <c r="C74">
        <f>IF(B74="east",1,0)</f>
        <v>0</v>
      </c>
      <c r="D74" t="s">
        <v>17</v>
      </c>
      <c r="E74">
        <f>IF(D74="Guard",1,0)</f>
        <v>1</v>
      </c>
      <c r="F74">
        <f>IF(D74="Forward",1,0)</f>
        <v>0</v>
      </c>
      <c r="G74">
        <v>24</v>
      </c>
      <c r="H74">
        <v>33</v>
      </c>
      <c r="I74">
        <v>28.4</v>
      </c>
      <c r="J74">
        <v>4.5999999999999996</v>
      </c>
      <c r="K74">
        <v>5.5</v>
      </c>
      <c r="L74">
        <v>17.100000000000001</v>
      </c>
      <c r="M74" s="1">
        <v>6580997</v>
      </c>
      <c r="N74" s="2">
        <f>IF(O74="US",1,0)</f>
        <v>1</v>
      </c>
      <c r="O74" t="s">
        <v>21</v>
      </c>
    </row>
    <row r="75" spans="1:15">
      <c r="A75" t="s">
        <v>95</v>
      </c>
      <c r="B75" t="s">
        <v>23</v>
      </c>
      <c r="C75">
        <f>IF(B75="east",1,0)</f>
        <v>1</v>
      </c>
      <c r="D75" t="s">
        <v>17</v>
      </c>
      <c r="E75">
        <f>IF(D75="Guard",1,0)</f>
        <v>1</v>
      </c>
      <c r="F75">
        <f>IF(D75="Forward",1,0)</f>
        <v>0</v>
      </c>
      <c r="G75">
        <v>23</v>
      </c>
      <c r="H75">
        <v>54</v>
      </c>
      <c r="I75">
        <v>32.1</v>
      </c>
      <c r="J75">
        <v>8.3000000000000007</v>
      </c>
      <c r="K75">
        <v>9.1</v>
      </c>
      <c r="L75">
        <v>17</v>
      </c>
      <c r="M75" s="1">
        <v>25000000</v>
      </c>
      <c r="N75" s="2">
        <f>IF(O75="US",1,0)</f>
        <v>0</v>
      </c>
      <c r="O75" t="s">
        <v>18</v>
      </c>
    </row>
    <row r="76" spans="1:15">
      <c r="A76" t="s">
        <v>96</v>
      </c>
      <c r="B76" t="s">
        <v>23</v>
      </c>
      <c r="C76">
        <f>IF(B76="east",1,0)</f>
        <v>1</v>
      </c>
      <c r="D76" t="s">
        <v>17</v>
      </c>
      <c r="E76">
        <f>IF(D76="Guard",1,0)</f>
        <v>1</v>
      </c>
      <c r="F76">
        <f>IF(D76="Forward",1,0)</f>
        <v>0</v>
      </c>
      <c r="G76">
        <v>28</v>
      </c>
      <c r="H76">
        <v>79</v>
      </c>
      <c r="I76">
        <v>32.4</v>
      </c>
      <c r="J76">
        <v>3.9</v>
      </c>
      <c r="K76">
        <v>5.2</v>
      </c>
      <c r="L76">
        <v>17</v>
      </c>
      <c r="M76" s="1">
        <v>7232143</v>
      </c>
      <c r="N76" s="2">
        <f>IF(O76="US",1,0)</f>
        <v>1</v>
      </c>
      <c r="O76" t="s">
        <v>21</v>
      </c>
    </row>
    <row r="77" spans="1:15">
      <c r="A77" t="s">
        <v>97</v>
      </c>
      <c r="B77" t="s">
        <v>23</v>
      </c>
      <c r="C77">
        <f>IF(B77="east",1,0)</f>
        <v>1</v>
      </c>
      <c r="D77" t="s">
        <v>17</v>
      </c>
      <c r="E77">
        <f>IF(D77="Guard",1,0)</f>
        <v>1</v>
      </c>
      <c r="F77">
        <f>IF(D77="Forward",1,0)</f>
        <v>0</v>
      </c>
      <c r="G77">
        <v>26</v>
      </c>
      <c r="H77">
        <v>57</v>
      </c>
      <c r="I77">
        <v>31.3</v>
      </c>
      <c r="J77">
        <v>2.8</v>
      </c>
      <c r="K77">
        <v>7.7</v>
      </c>
      <c r="L77">
        <v>16.899999999999999</v>
      </c>
      <c r="M77" s="1">
        <v>18102000</v>
      </c>
      <c r="N77" s="2">
        <f>IF(O77="US",1,0)</f>
        <v>0</v>
      </c>
      <c r="O77" t="s">
        <v>18</v>
      </c>
    </row>
    <row r="78" spans="1:15">
      <c r="A78" t="s">
        <v>98</v>
      </c>
      <c r="B78" t="s">
        <v>23</v>
      </c>
      <c r="C78">
        <f>IF(B78="east",1,0)</f>
        <v>1</v>
      </c>
      <c r="D78" t="s">
        <v>24</v>
      </c>
      <c r="E78">
        <f>IF(D78="Guard",1,0)</f>
        <v>0</v>
      </c>
      <c r="F78">
        <f>IF(D78="Forward",1,0)</f>
        <v>1</v>
      </c>
      <c r="G78">
        <v>28</v>
      </c>
      <c r="H78">
        <v>67</v>
      </c>
      <c r="I78">
        <v>33.200000000000003</v>
      </c>
      <c r="J78">
        <v>5.2</v>
      </c>
      <c r="K78">
        <v>2.2000000000000002</v>
      </c>
      <c r="L78">
        <v>16.7</v>
      </c>
      <c r="M78" s="1">
        <v>39568966</v>
      </c>
      <c r="N78" s="2">
        <f>IF(O78="US",1,0)</f>
        <v>0</v>
      </c>
      <c r="O78" t="s">
        <v>18</v>
      </c>
    </row>
    <row r="79" spans="1:15">
      <c r="A79" t="s">
        <v>99</v>
      </c>
      <c r="B79" t="s">
        <v>16</v>
      </c>
      <c r="C79">
        <f>IF(B79="east",1,0)</f>
        <v>0</v>
      </c>
      <c r="D79" t="s">
        <v>29</v>
      </c>
      <c r="E79">
        <f>IF(D79="Guard",1,0)</f>
        <v>0</v>
      </c>
      <c r="F79">
        <f>IF(D79="Forward",1,0)</f>
        <v>0</v>
      </c>
      <c r="G79">
        <v>30</v>
      </c>
      <c r="H79">
        <v>32</v>
      </c>
      <c r="I79">
        <v>24</v>
      </c>
      <c r="J79">
        <v>5.2</v>
      </c>
      <c r="K79">
        <v>2.5</v>
      </c>
      <c r="L79">
        <v>16.7</v>
      </c>
      <c r="M79" s="1">
        <v>30731707</v>
      </c>
      <c r="N79" s="2">
        <f>IF(O79="US",1,0)</f>
        <v>0</v>
      </c>
      <c r="O79" t="s">
        <v>18</v>
      </c>
    </row>
    <row r="80" spans="1:15">
      <c r="A80" t="s">
        <v>100</v>
      </c>
      <c r="B80" t="s">
        <v>16</v>
      </c>
      <c r="C80">
        <f>IF(B80="east",1,0)</f>
        <v>0</v>
      </c>
      <c r="D80" t="s">
        <v>17</v>
      </c>
      <c r="E80">
        <f>IF(D80="Guard",1,0)</f>
        <v>1</v>
      </c>
      <c r="F80">
        <f>IF(D80="Forward",1,0)</f>
        <v>0</v>
      </c>
      <c r="G80">
        <v>29</v>
      </c>
      <c r="H80">
        <v>14</v>
      </c>
      <c r="I80">
        <v>27.8</v>
      </c>
      <c r="J80">
        <v>5.4</v>
      </c>
      <c r="K80">
        <v>6.4</v>
      </c>
      <c r="L80">
        <v>16.7</v>
      </c>
      <c r="M80" s="1">
        <v>26783568</v>
      </c>
      <c r="N80" s="2">
        <f>IF(O80="US",1,0)</f>
        <v>1</v>
      </c>
      <c r="O80" t="s">
        <v>21</v>
      </c>
    </row>
    <row r="81" spans="1:15">
      <c r="A81" t="s">
        <v>101</v>
      </c>
      <c r="B81" t="s">
        <v>16</v>
      </c>
      <c r="C81">
        <f>IF(B81="east",1,0)</f>
        <v>0</v>
      </c>
      <c r="D81" t="s">
        <v>17</v>
      </c>
      <c r="E81">
        <f>IF(D81="Guard",1,0)</f>
        <v>1</v>
      </c>
      <c r="F81">
        <f>IF(D81="Forward",1,0)</f>
        <v>0</v>
      </c>
      <c r="G81">
        <v>21</v>
      </c>
      <c r="H81">
        <v>68</v>
      </c>
      <c r="I81">
        <v>30</v>
      </c>
      <c r="J81">
        <v>5.3</v>
      </c>
      <c r="K81">
        <v>7.4</v>
      </c>
      <c r="L81">
        <v>16.7</v>
      </c>
      <c r="M81" s="1">
        <v>9560520</v>
      </c>
      <c r="N81" s="2">
        <f>IF(O81="US",1,0)</f>
        <v>1</v>
      </c>
      <c r="O81" t="s">
        <v>21</v>
      </c>
    </row>
    <row r="82" spans="1:15">
      <c r="A82" t="s">
        <v>102</v>
      </c>
      <c r="B82" t="s">
        <v>23</v>
      </c>
      <c r="C82">
        <f>IF(B82="east",1,0)</f>
        <v>1</v>
      </c>
      <c r="D82" t="s">
        <v>17</v>
      </c>
      <c r="E82">
        <f>IF(D82="Guard",1,0)</f>
        <v>1</v>
      </c>
      <c r="F82">
        <f>IF(D82="Forward",1,0)</f>
        <v>0</v>
      </c>
      <c r="G82">
        <v>31</v>
      </c>
      <c r="H82">
        <v>77</v>
      </c>
      <c r="I82">
        <v>34.1</v>
      </c>
      <c r="J82">
        <v>4.4000000000000004</v>
      </c>
      <c r="K82">
        <v>5.4</v>
      </c>
      <c r="L82">
        <v>16.5</v>
      </c>
      <c r="M82" s="1">
        <v>26350000</v>
      </c>
      <c r="N82" s="2">
        <f>IF(O82="US",1,0)</f>
        <v>1</v>
      </c>
      <c r="O82" t="s">
        <v>21</v>
      </c>
    </row>
    <row r="83" spans="1:15">
      <c r="A83" t="s">
        <v>103</v>
      </c>
      <c r="B83" t="s">
        <v>16</v>
      </c>
      <c r="C83">
        <f>IF(B83="east",1,0)</f>
        <v>0</v>
      </c>
      <c r="D83" t="s">
        <v>17</v>
      </c>
      <c r="E83">
        <f>IF(D83="Guard",1,0)</f>
        <v>1</v>
      </c>
      <c r="F83">
        <f>IF(D83="Forward",1,0)</f>
        <v>0</v>
      </c>
      <c r="G83">
        <v>30</v>
      </c>
      <c r="H83">
        <v>51</v>
      </c>
      <c r="I83">
        <v>28.8</v>
      </c>
      <c r="J83">
        <v>3</v>
      </c>
      <c r="K83">
        <v>3.8</v>
      </c>
      <c r="L83">
        <v>16.5</v>
      </c>
      <c r="M83" s="1">
        <v>16875000</v>
      </c>
      <c r="N83" s="2">
        <f>IF(O83="US",1,0)</f>
        <v>1</v>
      </c>
      <c r="O83" t="s">
        <v>21</v>
      </c>
    </row>
    <row r="84" spans="1:15">
      <c r="A84" t="s">
        <v>104</v>
      </c>
      <c r="B84" t="s">
        <v>23</v>
      </c>
      <c r="C84">
        <f>IF(B84="east",1,0)</f>
        <v>1</v>
      </c>
      <c r="D84" t="s">
        <v>17</v>
      </c>
      <c r="E84">
        <f>IF(D84="Guard",1,0)</f>
        <v>1</v>
      </c>
      <c r="F84">
        <f>IF(D84="Forward",1,0)</f>
        <v>0</v>
      </c>
      <c r="G84">
        <v>26</v>
      </c>
      <c r="H84">
        <v>70</v>
      </c>
      <c r="I84">
        <v>31.9</v>
      </c>
      <c r="J84">
        <v>4</v>
      </c>
      <c r="K84">
        <v>5.9</v>
      </c>
      <c r="L84">
        <v>16.399999999999999</v>
      </c>
      <c r="M84" s="1">
        <v>32500000</v>
      </c>
      <c r="N84" s="2">
        <f>IF(O84="US",1,0)</f>
        <v>1</v>
      </c>
      <c r="O84" t="s">
        <v>21</v>
      </c>
    </row>
    <row r="85" spans="1:15">
      <c r="A85" t="s">
        <v>105</v>
      </c>
      <c r="B85" t="s">
        <v>16</v>
      </c>
      <c r="C85">
        <f>IF(B85="east",1,0)</f>
        <v>0</v>
      </c>
      <c r="D85" t="s">
        <v>17</v>
      </c>
      <c r="E85">
        <f>IF(D85="Guard",1,0)</f>
        <v>1</v>
      </c>
      <c r="F85">
        <f>IF(D85="Forward",1,0)</f>
        <v>0</v>
      </c>
      <c r="G85">
        <v>35</v>
      </c>
      <c r="H85">
        <v>53</v>
      </c>
      <c r="I85">
        <v>29.4</v>
      </c>
      <c r="J85">
        <v>4.5999999999999996</v>
      </c>
      <c r="K85">
        <v>6.1</v>
      </c>
      <c r="L85">
        <v>16.3</v>
      </c>
      <c r="M85" s="1">
        <v>32400000</v>
      </c>
      <c r="N85" s="2">
        <f>IF(O85="US",1,0)</f>
        <v>1</v>
      </c>
      <c r="O85" t="s">
        <v>21</v>
      </c>
    </row>
    <row r="86" spans="1:15">
      <c r="A86" t="s">
        <v>106</v>
      </c>
      <c r="B86" t="s">
        <v>23</v>
      </c>
      <c r="C86">
        <f>IF(B86="east",1,0)</f>
        <v>1</v>
      </c>
      <c r="D86" t="s">
        <v>29</v>
      </c>
      <c r="E86">
        <f>IF(D86="Guard",1,0)</f>
        <v>0</v>
      </c>
      <c r="F86">
        <f>IF(D86="Forward",1,0)</f>
        <v>0</v>
      </c>
      <c r="G86">
        <v>20</v>
      </c>
      <c r="H86">
        <v>48</v>
      </c>
      <c r="I86">
        <v>27.2</v>
      </c>
      <c r="J86">
        <v>7.4</v>
      </c>
      <c r="K86">
        <v>2.7</v>
      </c>
      <c r="L86">
        <v>16.3</v>
      </c>
      <c r="M86" s="1">
        <v>11808240</v>
      </c>
      <c r="N86" s="2">
        <f>IF(O86="US",1,0)</f>
        <v>0</v>
      </c>
      <c r="O86" t="s">
        <v>18</v>
      </c>
    </row>
    <row r="87" spans="1:15">
      <c r="A87" t="s">
        <v>107</v>
      </c>
      <c r="B87" t="s">
        <v>23</v>
      </c>
      <c r="C87">
        <f>IF(B87="east",1,0)</f>
        <v>1</v>
      </c>
      <c r="D87" t="s">
        <v>24</v>
      </c>
      <c r="E87">
        <f>IF(D87="Guard",1,0)</f>
        <v>0</v>
      </c>
      <c r="F87">
        <f>IF(D87="Forward",1,0)</f>
        <v>1</v>
      </c>
      <c r="G87">
        <v>21</v>
      </c>
      <c r="H87">
        <v>77</v>
      </c>
      <c r="I87">
        <v>29.2</v>
      </c>
      <c r="J87">
        <v>5.8</v>
      </c>
      <c r="K87">
        <v>2.1</v>
      </c>
      <c r="L87">
        <v>16.3</v>
      </c>
      <c r="M87" s="1">
        <v>5455560</v>
      </c>
      <c r="N87" s="2">
        <f>IF(O87="US",1,0)</f>
        <v>1</v>
      </c>
      <c r="O87" t="s">
        <v>21</v>
      </c>
    </row>
    <row r="88" spans="1:15">
      <c r="A88" t="s">
        <v>108</v>
      </c>
      <c r="B88" t="s">
        <v>16</v>
      </c>
      <c r="C88">
        <f>IF(B88="east",1,0)</f>
        <v>0</v>
      </c>
      <c r="D88" t="s">
        <v>24</v>
      </c>
      <c r="E88">
        <f>IF(D88="Guard",1,0)</f>
        <v>0</v>
      </c>
      <c r="F88">
        <f>IF(D88="Forward",1,0)</f>
        <v>1</v>
      </c>
      <c r="G88">
        <v>21</v>
      </c>
      <c r="H88">
        <v>6</v>
      </c>
      <c r="I88">
        <v>30.5</v>
      </c>
      <c r="J88">
        <v>4</v>
      </c>
      <c r="K88">
        <v>1.5</v>
      </c>
      <c r="L88">
        <v>16.3</v>
      </c>
      <c r="M88" s="1">
        <v>3394530</v>
      </c>
      <c r="N88" s="2">
        <f>IF(O88="US",1,0)</f>
        <v>1</v>
      </c>
      <c r="O88" t="s">
        <v>21</v>
      </c>
    </row>
    <row r="89" spans="1:15">
      <c r="A89" t="s">
        <v>109</v>
      </c>
      <c r="B89" t="s">
        <v>16</v>
      </c>
      <c r="C89">
        <f>IF(B89="east",1,0)</f>
        <v>0</v>
      </c>
      <c r="D89" t="s">
        <v>24</v>
      </c>
      <c r="E89">
        <f>IF(D89="Guard",1,0)</f>
        <v>0</v>
      </c>
      <c r="F89">
        <f>IF(D89="Forward",1,0)</f>
        <v>1</v>
      </c>
      <c r="G89">
        <v>30</v>
      </c>
      <c r="H89">
        <v>36</v>
      </c>
      <c r="I89">
        <v>27.9</v>
      </c>
      <c r="J89">
        <v>5.8</v>
      </c>
      <c r="K89">
        <v>2.7</v>
      </c>
      <c r="L89">
        <v>16.2</v>
      </c>
      <c r="M89" s="1">
        <v>22841455</v>
      </c>
      <c r="N89" s="2">
        <f>IF(O89="US",1,0)</f>
        <v>1</v>
      </c>
      <c r="O89" t="s">
        <v>21</v>
      </c>
    </row>
    <row r="90" spans="1:15">
      <c r="A90" t="s">
        <v>110</v>
      </c>
      <c r="B90" t="s">
        <v>23</v>
      </c>
      <c r="C90">
        <f>IF(B90="east",1,0)</f>
        <v>1</v>
      </c>
      <c r="D90" t="s">
        <v>17</v>
      </c>
      <c r="E90">
        <f>IF(D90="Guard",1,0)</f>
        <v>1</v>
      </c>
      <c r="F90">
        <f>IF(D90="Forward",1,0)</f>
        <v>0</v>
      </c>
      <c r="G90">
        <v>20</v>
      </c>
      <c r="H90">
        <v>75</v>
      </c>
      <c r="I90">
        <v>35</v>
      </c>
      <c r="J90">
        <v>5.6</v>
      </c>
      <c r="K90">
        <v>4.2</v>
      </c>
      <c r="L90">
        <v>16</v>
      </c>
      <c r="M90" s="1">
        <v>11108880</v>
      </c>
      <c r="N90" s="2">
        <f>IF(O90="US",1,0)</f>
        <v>0</v>
      </c>
      <c r="O90" t="s">
        <v>18</v>
      </c>
    </row>
    <row r="91" spans="1:15">
      <c r="A91" t="s">
        <v>111</v>
      </c>
      <c r="B91" t="s">
        <v>16</v>
      </c>
      <c r="C91">
        <f>IF(B91="east",1,0)</f>
        <v>0</v>
      </c>
      <c r="D91" t="s">
        <v>29</v>
      </c>
      <c r="E91">
        <f>IF(D91="Guard",1,0)</f>
        <v>0</v>
      </c>
      <c r="F91">
        <f>IF(D91="Forward",1,0)</f>
        <v>0</v>
      </c>
      <c r="G91">
        <v>29</v>
      </c>
      <c r="H91">
        <v>19</v>
      </c>
      <c r="I91">
        <v>29.7</v>
      </c>
      <c r="J91">
        <v>11.4</v>
      </c>
      <c r="K91">
        <v>4.0999999999999996</v>
      </c>
      <c r="L91">
        <v>15.8</v>
      </c>
      <c r="M91" s="1">
        <v>42336000</v>
      </c>
      <c r="N91" s="2">
        <f>IF(O91="US",1,0)</f>
        <v>0</v>
      </c>
      <c r="O91" t="s">
        <v>18</v>
      </c>
    </row>
    <row r="92" spans="1:15">
      <c r="A92" t="s">
        <v>112</v>
      </c>
      <c r="B92" t="s">
        <v>16</v>
      </c>
      <c r="C92">
        <f>IF(B92="east",1,0)</f>
        <v>0</v>
      </c>
      <c r="D92" t="s">
        <v>24</v>
      </c>
      <c r="E92">
        <f>IF(D92="Guard",1,0)</f>
        <v>0</v>
      </c>
      <c r="F92">
        <f>IF(D92="Forward",1,0)</f>
        <v>1</v>
      </c>
      <c r="G92">
        <v>22</v>
      </c>
      <c r="H92">
        <v>77</v>
      </c>
      <c r="I92">
        <v>35.1</v>
      </c>
      <c r="J92">
        <v>6.9</v>
      </c>
      <c r="K92">
        <v>1.9</v>
      </c>
      <c r="L92">
        <v>15.8</v>
      </c>
      <c r="M92" s="1">
        <v>12350392</v>
      </c>
      <c r="N92" s="2">
        <f>IF(O92="US",1,0)</f>
        <v>1</v>
      </c>
      <c r="O92" t="s">
        <v>21</v>
      </c>
    </row>
    <row r="93" spans="1:15">
      <c r="A93" t="s">
        <v>113</v>
      </c>
      <c r="B93" t="s">
        <v>23</v>
      </c>
      <c r="C93">
        <f>IF(B93="east",1,0)</f>
        <v>1</v>
      </c>
      <c r="D93" t="s">
        <v>24</v>
      </c>
      <c r="E93">
        <f>IF(D93="Guard",1,0)</f>
        <v>0</v>
      </c>
      <c r="F93">
        <f>IF(D93="Forward",1,0)</f>
        <v>1</v>
      </c>
      <c r="G93">
        <v>30</v>
      </c>
      <c r="H93">
        <v>68</v>
      </c>
      <c r="I93">
        <v>30.3</v>
      </c>
      <c r="J93">
        <v>4.8</v>
      </c>
      <c r="K93">
        <v>2.7</v>
      </c>
      <c r="L93">
        <v>15.4</v>
      </c>
      <c r="M93" s="1">
        <v>28223215</v>
      </c>
      <c r="N93" s="2">
        <f>IF(O93="US",1,0)</f>
        <v>0</v>
      </c>
      <c r="O93" t="s">
        <v>18</v>
      </c>
    </row>
    <row r="94" spans="1:15">
      <c r="A94" t="s">
        <v>114</v>
      </c>
      <c r="B94" t="s">
        <v>23</v>
      </c>
      <c r="C94">
        <f>IF(B94="east",1,0)</f>
        <v>1</v>
      </c>
      <c r="D94" t="s">
        <v>29</v>
      </c>
      <c r="E94">
        <f>IF(D94="Guard",1,0)</f>
        <v>0</v>
      </c>
      <c r="F94">
        <f>IF(D94="Forward",1,0)</f>
        <v>0</v>
      </c>
      <c r="G94">
        <v>27</v>
      </c>
      <c r="H94">
        <v>56</v>
      </c>
      <c r="I94">
        <v>27.1</v>
      </c>
      <c r="J94">
        <v>8.5</v>
      </c>
      <c r="K94">
        <v>1.8</v>
      </c>
      <c r="L94">
        <v>15.4</v>
      </c>
      <c r="M94" s="1">
        <v>20000000</v>
      </c>
      <c r="N94" s="2">
        <f>IF(O94="US",1,0)</f>
        <v>1</v>
      </c>
      <c r="O94" t="s">
        <v>21</v>
      </c>
    </row>
    <row r="95" spans="1:15">
      <c r="A95" t="s">
        <v>115</v>
      </c>
      <c r="B95" t="s">
        <v>23</v>
      </c>
      <c r="C95">
        <f>IF(B95="east",1,0)</f>
        <v>1</v>
      </c>
      <c r="D95" t="s">
        <v>17</v>
      </c>
      <c r="E95">
        <f>IF(D95="Guard",1,0)</f>
        <v>1</v>
      </c>
      <c r="F95">
        <f>IF(D95="Forward",1,0)</f>
        <v>0</v>
      </c>
      <c r="G95">
        <v>27</v>
      </c>
      <c r="H95">
        <v>68</v>
      </c>
      <c r="I95">
        <v>23.7</v>
      </c>
      <c r="J95">
        <v>2.2999999999999998</v>
      </c>
      <c r="K95">
        <v>3.3</v>
      </c>
      <c r="L95">
        <v>15.4</v>
      </c>
      <c r="M95" s="1">
        <v>18975000</v>
      </c>
      <c r="N95" s="2">
        <f>IF(O95="US",1,0)</f>
        <v>1</v>
      </c>
      <c r="O95" t="s">
        <v>21</v>
      </c>
    </row>
    <row r="96" spans="1:15">
      <c r="A96" t="s">
        <v>116</v>
      </c>
      <c r="B96" t="s">
        <v>23</v>
      </c>
      <c r="C96">
        <f>IF(B96="east",1,0)</f>
        <v>1</v>
      </c>
      <c r="D96" t="s">
        <v>24</v>
      </c>
      <c r="E96">
        <f>IF(D96="Guard",1,0)</f>
        <v>0</v>
      </c>
      <c r="F96">
        <f>IF(D96="Forward",1,0)</f>
        <v>1</v>
      </c>
      <c r="G96">
        <v>24</v>
      </c>
      <c r="H96">
        <v>75</v>
      </c>
      <c r="I96">
        <v>28.3</v>
      </c>
      <c r="J96">
        <v>5</v>
      </c>
      <c r="K96">
        <v>4.7</v>
      </c>
      <c r="L96">
        <v>15.4</v>
      </c>
      <c r="M96" s="1">
        <v>3861600</v>
      </c>
      <c r="N96" s="2">
        <f>IF(O96="US",1,0)</f>
        <v>1</v>
      </c>
      <c r="O96" t="s">
        <v>21</v>
      </c>
    </row>
    <row r="97" spans="1:15">
      <c r="A97" t="s">
        <v>117</v>
      </c>
      <c r="B97" t="s">
        <v>23</v>
      </c>
      <c r="C97">
        <f>IF(B97="east",1,0)</f>
        <v>1</v>
      </c>
      <c r="D97" t="s">
        <v>29</v>
      </c>
      <c r="E97">
        <f>IF(D97="Guard",1,0)</f>
        <v>0</v>
      </c>
      <c r="F97">
        <f>IF(D97="Forward",1,0)</f>
        <v>0</v>
      </c>
      <c r="G97">
        <v>25</v>
      </c>
      <c r="H97">
        <v>74</v>
      </c>
      <c r="I97">
        <v>31</v>
      </c>
      <c r="J97">
        <v>7.6</v>
      </c>
      <c r="K97">
        <v>3.1</v>
      </c>
      <c r="L97">
        <v>15.2</v>
      </c>
      <c r="M97" s="1">
        <v>15000000</v>
      </c>
      <c r="N97" s="2">
        <f>IF(O97="US",1,0)</f>
        <v>1</v>
      </c>
      <c r="O97" t="s">
        <v>21</v>
      </c>
    </row>
    <row r="98" spans="1:15">
      <c r="A98" t="s">
        <v>118</v>
      </c>
      <c r="B98" t="s">
        <v>16</v>
      </c>
      <c r="C98">
        <f>IF(B98="east",1,0)</f>
        <v>0</v>
      </c>
      <c r="D98" t="s">
        <v>24</v>
      </c>
      <c r="E98">
        <f>IF(D98="Guard",1,0)</f>
        <v>0</v>
      </c>
      <c r="F98">
        <f>IF(D98="Forward",1,0)</f>
        <v>1</v>
      </c>
      <c r="G98">
        <v>28</v>
      </c>
      <c r="H98">
        <v>74</v>
      </c>
      <c r="I98">
        <v>29.5</v>
      </c>
      <c r="J98">
        <v>4.7</v>
      </c>
      <c r="K98">
        <v>3.3</v>
      </c>
      <c r="L98">
        <v>15.2</v>
      </c>
      <c r="M98" s="1">
        <v>9000000</v>
      </c>
      <c r="N98" s="2">
        <f>IF(O98="US",1,0)</f>
        <v>1</v>
      </c>
      <c r="O98" t="s">
        <v>21</v>
      </c>
    </row>
    <row r="99" spans="1:15">
      <c r="A99" t="s">
        <v>119</v>
      </c>
      <c r="B99" t="s">
        <v>16</v>
      </c>
      <c r="C99">
        <f>IF(B99="east",1,0)</f>
        <v>0</v>
      </c>
      <c r="D99" t="s">
        <v>24</v>
      </c>
      <c r="E99">
        <f>IF(D99="Guard",1,0)</f>
        <v>0</v>
      </c>
      <c r="F99">
        <f>IF(D99="Forward",1,0)</f>
        <v>1</v>
      </c>
      <c r="G99">
        <v>37</v>
      </c>
      <c r="H99">
        <v>64</v>
      </c>
      <c r="I99">
        <v>29</v>
      </c>
      <c r="J99">
        <v>5.4</v>
      </c>
      <c r="K99">
        <v>6.7</v>
      </c>
      <c r="L99">
        <v>15.2</v>
      </c>
      <c r="M99" s="1">
        <v>3634153</v>
      </c>
      <c r="N99" s="2">
        <f>IF(O99="US",1,0)</f>
        <v>1</v>
      </c>
      <c r="O99" t="s">
        <v>21</v>
      </c>
    </row>
    <row r="100" spans="1:15">
      <c r="A100" t="s">
        <v>120</v>
      </c>
      <c r="B100" t="s">
        <v>23</v>
      </c>
      <c r="C100">
        <f>IF(B100="east",1,0)</f>
        <v>1</v>
      </c>
      <c r="D100" t="s">
        <v>29</v>
      </c>
      <c r="E100">
        <f>IF(D100="Guard",1,0)</f>
        <v>0</v>
      </c>
      <c r="F100">
        <f>IF(D100="Forward",1,0)</f>
        <v>0</v>
      </c>
      <c r="G100">
        <v>35</v>
      </c>
      <c r="H100">
        <v>64</v>
      </c>
      <c r="I100">
        <v>28.4</v>
      </c>
      <c r="J100">
        <v>8.4</v>
      </c>
      <c r="K100">
        <v>3.3</v>
      </c>
      <c r="L100">
        <v>15.1</v>
      </c>
      <c r="M100" s="1">
        <v>21481481</v>
      </c>
      <c r="N100" s="2">
        <f>IF(O100="US",1,0)</f>
        <v>0</v>
      </c>
      <c r="O100" t="s">
        <v>18</v>
      </c>
    </row>
    <row r="101" spans="1:15">
      <c r="A101" t="s">
        <v>121</v>
      </c>
      <c r="B101" t="s">
        <v>23</v>
      </c>
      <c r="C101">
        <f>IF(B101="east",1,0)</f>
        <v>1</v>
      </c>
      <c r="D101" t="s">
        <v>17</v>
      </c>
      <c r="E101">
        <f>IF(D101="Guard",1,0)</f>
        <v>1</v>
      </c>
      <c r="F101">
        <f>IF(D101="Forward",1,0)</f>
        <v>0</v>
      </c>
      <c r="G101">
        <v>22</v>
      </c>
      <c r="H101">
        <v>64</v>
      </c>
      <c r="I101">
        <v>29.8</v>
      </c>
      <c r="J101">
        <v>3.8</v>
      </c>
      <c r="K101">
        <v>3.7</v>
      </c>
      <c r="L101">
        <v>15</v>
      </c>
      <c r="M101" s="1">
        <v>7970280</v>
      </c>
      <c r="N101" s="2">
        <f>IF(O101="US",1,0)</f>
        <v>1</v>
      </c>
      <c r="O101" t="s">
        <v>21</v>
      </c>
    </row>
    <row r="102" spans="1:15">
      <c r="A102" t="s">
        <v>122</v>
      </c>
      <c r="B102" t="s">
        <v>16</v>
      </c>
      <c r="C102">
        <f>IF(B102="east",1,0)</f>
        <v>0</v>
      </c>
      <c r="D102" t="s">
        <v>17</v>
      </c>
      <c r="E102">
        <f>IF(D102="Guard",1,0)</f>
        <v>1</v>
      </c>
      <c r="F102">
        <f>IF(D102="Forward",1,0)</f>
        <v>0</v>
      </c>
      <c r="G102">
        <v>23</v>
      </c>
      <c r="H102">
        <v>11</v>
      </c>
      <c r="I102">
        <v>32.299999999999997</v>
      </c>
      <c r="J102">
        <v>3.4</v>
      </c>
      <c r="K102">
        <v>6.7</v>
      </c>
      <c r="L102">
        <v>15</v>
      </c>
      <c r="M102" s="1">
        <v>117730</v>
      </c>
      <c r="N102" s="2">
        <f>IF(O102="US",1,0)</f>
        <v>1</v>
      </c>
      <c r="O102" t="s">
        <v>21</v>
      </c>
    </row>
    <row r="103" spans="1:15">
      <c r="A103" t="s">
        <v>123</v>
      </c>
      <c r="B103" t="s">
        <v>16</v>
      </c>
      <c r="C103">
        <f>IF(B103="east",1,0)</f>
        <v>0</v>
      </c>
      <c r="D103" t="s">
        <v>24</v>
      </c>
      <c r="E103">
        <f>IF(D103="Guard",1,0)</f>
        <v>0</v>
      </c>
      <c r="F103">
        <f>IF(D103="Forward",1,0)</f>
        <v>1</v>
      </c>
      <c r="G103">
        <v>22</v>
      </c>
      <c r="H103">
        <v>75</v>
      </c>
      <c r="I103">
        <v>23.5</v>
      </c>
      <c r="J103">
        <v>3.1</v>
      </c>
      <c r="K103">
        <v>1.9</v>
      </c>
      <c r="L103">
        <v>14.9</v>
      </c>
      <c r="M103" s="1">
        <v>2693760</v>
      </c>
      <c r="N103" s="2">
        <f>IF(O103="US",1,0)</f>
        <v>1</v>
      </c>
      <c r="O103" t="s">
        <v>21</v>
      </c>
    </row>
    <row r="104" spans="1:15">
      <c r="A104" t="s">
        <v>124</v>
      </c>
      <c r="B104" t="s">
        <v>16</v>
      </c>
      <c r="C104">
        <f>IF(B104="east",1,0)</f>
        <v>0</v>
      </c>
      <c r="D104" t="s">
        <v>24</v>
      </c>
      <c r="E104">
        <f>IF(D104="Guard",1,0)</f>
        <v>0</v>
      </c>
      <c r="F104">
        <f>IF(D104="Forward",1,0)</f>
        <v>1</v>
      </c>
      <c r="G104">
        <v>25</v>
      </c>
      <c r="H104">
        <v>73</v>
      </c>
      <c r="I104">
        <v>31.7</v>
      </c>
      <c r="J104">
        <v>4.2</v>
      </c>
      <c r="K104">
        <v>2.7</v>
      </c>
      <c r="L104">
        <v>14.8</v>
      </c>
      <c r="M104" s="1">
        <v>24393103</v>
      </c>
      <c r="N104" s="2">
        <f>IF(O104="US",1,0)</f>
        <v>1</v>
      </c>
      <c r="O104" t="s">
        <v>21</v>
      </c>
    </row>
    <row r="105" spans="1:15">
      <c r="A105" t="s">
        <v>125</v>
      </c>
      <c r="B105" t="s">
        <v>16</v>
      </c>
      <c r="C105">
        <f>IF(B105="east",1,0)</f>
        <v>0</v>
      </c>
      <c r="D105" t="s">
        <v>17</v>
      </c>
      <c r="E105">
        <f>IF(D105="Guard",1,0)</f>
        <v>1</v>
      </c>
      <c r="F105">
        <f>IF(D105="Forward",1,0)</f>
        <v>0</v>
      </c>
      <c r="G105">
        <v>26</v>
      </c>
      <c r="H105">
        <v>69</v>
      </c>
      <c r="I105">
        <v>27.3</v>
      </c>
      <c r="J105">
        <v>3.4</v>
      </c>
      <c r="K105">
        <v>3.6</v>
      </c>
      <c r="L105">
        <v>14.8</v>
      </c>
      <c r="M105" s="1">
        <v>7518518</v>
      </c>
      <c r="N105" s="2">
        <f>IF(O105="US",1,0)</f>
        <v>1</v>
      </c>
      <c r="O105" t="s">
        <v>21</v>
      </c>
    </row>
    <row r="106" spans="1:15">
      <c r="A106" t="s">
        <v>126</v>
      </c>
      <c r="B106" t="s">
        <v>23</v>
      </c>
      <c r="C106">
        <f>IF(B106="east",1,0)</f>
        <v>1</v>
      </c>
      <c r="D106" t="s">
        <v>24</v>
      </c>
      <c r="E106">
        <f>IF(D106="Guard",1,0)</f>
        <v>0</v>
      </c>
      <c r="F106">
        <f>IF(D106="Forward",1,0)</f>
        <v>1</v>
      </c>
      <c r="G106">
        <v>22</v>
      </c>
      <c r="H106">
        <v>48</v>
      </c>
      <c r="I106">
        <v>29</v>
      </c>
      <c r="J106">
        <v>5.0999999999999996</v>
      </c>
      <c r="K106">
        <v>4.5</v>
      </c>
      <c r="L106">
        <v>14.8</v>
      </c>
      <c r="M106" s="1">
        <v>2966760</v>
      </c>
      <c r="N106" s="2">
        <f>IF(O106="US",1,0)</f>
        <v>0</v>
      </c>
      <c r="O106" t="s">
        <v>18</v>
      </c>
    </row>
    <row r="107" spans="1:15">
      <c r="A107" t="s">
        <v>127</v>
      </c>
      <c r="B107" t="s">
        <v>16</v>
      </c>
      <c r="C107">
        <f>IF(B107="east",1,0)</f>
        <v>0</v>
      </c>
      <c r="D107" t="s">
        <v>24</v>
      </c>
      <c r="E107">
        <f>IF(D107="Guard",1,0)</f>
        <v>0</v>
      </c>
      <c r="F107">
        <f>IF(D107="Forward",1,0)</f>
        <v>1</v>
      </c>
      <c r="G107">
        <v>23</v>
      </c>
      <c r="H107">
        <v>54</v>
      </c>
      <c r="I107">
        <v>29.6</v>
      </c>
      <c r="J107">
        <v>4.9000000000000004</v>
      </c>
      <c r="K107">
        <v>2.1</v>
      </c>
      <c r="L107">
        <v>14.6</v>
      </c>
      <c r="M107" s="1">
        <v>4356476</v>
      </c>
      <c r="N107" s="2">
        <f>IF(O107="US",1,0)</f>
        <v>1</v>
      </c>
      <c r="O107" t="s">
        <v>21</v>
      </c>
    </row>
    <row r="108" spans="1:15">
      <c r="A108" t="s">
        <v>128</v>
      </c>
      <c r="B108" t="s">
        <v>23</v>
      </c>
      <c r="C108">
        <f>IF(B108="east",1,0)</f>
        <v>1</v>
      </c>
      <c r="D108" t="s">
        <v>24</v>
      </c>
      <c r="E108">
        <f>IF(D108="Guard",1,0)</f>
        <v>0</v>
      </c>
      <c r="F108">
        <f>IF(D108="Forward",1,0)</f>
        <v>1</v>
      </c>
      <c r="G108">
        <v>29</v>
      </c>
      <c r="H108">
        <v>82</v>
      </c>
      <c r="I108">
        <v>32.799999999999997</v>
      </c>
      <c r="J108">
        <v>3.8</v>
      </c>
      <c r="K108">
        <v>3.7</v>
      </c>
      <c r="L108">
        <v>14.4</v>
      </c>
      <c r="M108" s="1">
        <v>24900000</v>
      </c>
      <c r="N108" s="2">
        <f>IF(O108="US",1,0)</f>
        <v>1</v>
      </c>
      <c r="O108" t="s">
        <v>21</v>
      </c>
    </row>
    <row r="109" spans="1:15">
      <c r="A109" t="s">
        <v>129</v>
      </c>
      <c r="B109" t="s">
        <v>16</v>
      </c>
      <c r="C109">
        <f>IF(B109="east",1,0)</f>
        <v>0</v>
      </c>
      <c r="D109" t="s">
        <v>29</v>
      </c>
      <c r="E109">
        <f>IF(D109="Guard",1,0)</f>
        <v>0</v>
      </c>
      <c r="F109">
        <f>IF(D109="Forward",1,0)</f>
        <v>0</v>
      </c>
      <c r="G109">
        <v>24</v>
      </c>
      <c r="H109">
        <v>5</v>
      </c>
      <c r="I109">
        <v>30.8</v>
      </c>
      <c r="J109">
        <v>10.8</v>
      </c>
      <c r="K109">
        <v>3</v>
      </c>
      <c r="L109">
        <v>14.4</v>
      </c>
      <c r="M109" s="1">
        <v>4878938</v>
      </c>
      <c r="N109" s="2">
        <f>IF(O109="US",1,0)</f>
        <v>1</v>
      </c>
      <c r="O109" t="s">
        <v>21</v>
      </c>
    </row>
    <row r="110" spans="1:15">
      <c r="A110" t="s">
        <v>130</v>
      </c>
      <c r="B110" t="s">
        <v>23</v>
      </c>
      <c r="C110">
        <f>IF(B110="east",1,0)</f>
        <v>1</v>
      </c>
      <c r="D110" t="s">
        <v>17</v>
      </c>
      <c r="E110">
        <f>IF(D110="Guard",1,0)</f>
        <v>1</v>
      </c>
      <c r="F110">
        <f>IF(D110="Forward",1,0)</f>
        <v>0</v>
      </c>
      <c r="G110">
        <v>26</v>
      </c>
      <c r="H110">
        <v>55</v>
      </c>
      <c r="I110">
        <v>24.9</v>
      </c>
      <c r="J110">
        <v>2.5</v>
      </c>
      <c r="K110">
        <v>2.4</v>
      </c>
      <c r="L110">
        <v>14.3</v>
      </c>
      <c r="M110" s="1">
        <v>27678571</v>
      </c>
      <c r="N110" s="2">
        <f>IF(O110="US",1,0)</f>
        <v>1</v>
      </c>
      <c r="O110" t="s">
        <v>21</v>
      </c>
    </row>
    <row r="111" spans="1:15">
      <c r="A111" t="s">
        <v>131</v>
      </c>
      <c r="B111" t="s">
        <v>16</v>
      </c>
      <c r="C111">
        <f>IF(B111="east",1,0)</f>
        <v>0</v>
      </c>
      <c r="D111" t="s">
        <v>17</v>
      </c>
      <c r="E111">
        <f>IF(D111="Guard",1,0)</f>
        <v>1</v>
      </c>
      <c r="F111">
        <f>IF(D111="Forward",1,0)</f>
        <v>0</v>
      </c>
      <c r="G111">
        <v>19</v>
      </c>
      <c r="H111">
        <v>82</v>
      </c>
      <c r="I111">
        <v>25.8</v>
      </c>
      <c r="J111">
        <v>3.7</v>
      </c>
      <c r="K111">
        <v>3.4</v>
      </c>
      <c r="L111">
        <v>14.3</v>
      </c>
      <c r="M111" s="1">
        <v>7520040</v>
      </c>
      <c r="N111" s="2">
        <f>IF(O111="US",1,0)</f>
        <v>1</v>
      </c>
      <c r="O111" t="s">
        <v>21</v>
      </c>
    </row>
    <row r="112" spans="1:15">
      <c r="A112" t="s">
        <v>132</v>
      </c>
      <c r="B112" t="s">
        <v>23</v>
      </c>
      <c r="C112">
        <f>IF(B112="east",1,0)</f>
        <v>1</v>
      </c>
      <c r="D112" t="s">
        <v>17</v>
      </c>
      <c r="E112">
        <f>IF(D112="Guard",1,0)</f>
        <v>1</v>
      </c>
      <c r="F112">
        <f>IF(D112="Forward",1,0)</f>
        <v>0</v>
      </c>
      <c r="G112">
        <v>27</v>
      </c>
      <c r="H112">
        <v>11</v>
      </c>
      <c r="I112">
        <v>24.6</v>
      </c>
      <c r="J112">
        <v>2.5</v>
      </c>
      <c r="K112">
        <v>1.7</v>
      </c>
      <c r="L112">
        <v>14.3</v>
      </c>
      <c r="M112" s="1">
        <v>168253</v>
      </c>
      <c r="N112" s="2">
        <f>IF(O112="US",1,0)</f>
        <v>1</v>
      </c>
      <c r="O112" t="s">
        <v>21</v>
      </c>
    </row>
    <row r="113" spans="1:15">
      <c r="A113" t="s">
        <v>133</v>
      </c>
      <c r="B113" t="s">
        <v>16</v>
      </c>
      <c r="C113">
        <f>IF(B113="east",1,0)</f>
        <v>0</v>
      </c>
      <c r="D113" t="s">
        <v>24</v>
      </c>
      <c r="E113">
        <f>IF(D113="Guard",1,0)</f>
        <v>0</v>
      </c>
      <c r="F113">
        <f>IF(D113="Forward",1,0)</f>
        <v>1</v>
      </c>
      <c r="G113">
        <v>27</v>
      </c>
      <c r="H113">
        <v>56</v>
      </c>
      <c r="I113">
        <v>31</v>
      </c>
      <c r="J113">
        <v>7</v>
      </c>
      <c r="K113">
        <v>1.8</v>
      </c>
      <c r="L113">
        <v>14.2</v>
      </c>
      <c r="M113" s="1">
        <v>14152174</v>
      </c>
      <c r="N113" s="2">
        <f>IF(O113="US",1,0)</f>
        <v>1</v>
      </c>
      <c r="O113" t="s">
        <v>21</v>
      </c>
    </row>
    <row r="114" spans="1:15">
      <c r="A114" t="s">
        <v>134</v>
      </c>
      <c r="B114" t="s">
        <v>16</v>
      </c>
      <c r="C114">
        <f>IF(B114="east",1,0)</f>
        <v>0</v>
      </c>
      <c r="D114" t="s">
        <v>17</v>
      </c>
      <c r="E114">
        <f>IF(D114="Guard",1,0)</f>
        <v>1</v>
      </c>
      <c r="F114">
        <f>IF(D114="Forward",1,0)</f>
        <v>0</v>
      </c>
      <c r="G114">
        <v>21</v>
      </c>
      <c r="H114">
        <v>30</v>
      </c>
      <c r="I114">
        <v>24.9</v>
      </c>
      <c r="J114">
        <v>2.7</v>
      </c>
      <c r="K114">
        <v>3.7</v>
      </c>
      <c r="L114">
        <v>14.2</v>
      </c>
      <c r="M114" s="1">
        <v>10748040</v>
      </c>
      <c r="N114" s="2">
        <f>IF(O114="US",1,0)</f>
        <v>1</v>
      </c>
      <c r="O114" t="s">
        <v>21</v>
      </c>
    </row>
    <row r="115" spans="1:15">
      <c r="A115" t="s">
        <v>135</v>
      </c>
      <c r="B115" t="s">
        <v>23</v>
      </c>
      <c r="C115">
        <f>IF(B115="east",1,0)</f>
        <v>1</v>
      </c>
      <c r="D115" t="s">
        <v>29</v>
      </c>
      <c r="E115">
        <f>IF(D115="Guard",1,0)</f>
        <v>0</v>
      </c>
      <c r="F115">
        <f>IF(D115="Forward",1,0)</f>
        <v>0</v>
      </c>
      <c r="G115">
        <v>28</v>
      </c>
      <c r="H115">
        <v>48</v>
      </c>
      <c r="I115">
        <v>30.1</v>
      </c>
      <c r="J115">
        <v>10.6</v>
      </c>
      <c r="K115">
        <v>2.2000000000000002</v>
      </c>
      <c r="L115">
        <v>14.1</v>
      </c>
      <c r="M115" s="1">
        <v>18102000</v>
      </c>
      <c r="N115" s="2">
        <f>IF(O115="US",1,0)</f>
        <v>0</v>
      </c>
      <c r="O115" t="s">
        <v>18</v>
      </c>
    </row>
    <row r="116" spans="1:15">
      <c r="A116" t="s">
        <v>136</v>
      </c>
      <c r="B116" t="s">
        <v>23</v>
      </c>
      <c r="C116">
        <f>IF(B116="east",1,0)</f>
        <v>1</v>
      </c>
      <c r="D116" t="s">
        <v>24</v>
      </c>
      <c r="E116">
        <f>IF(D116="Guard",1,0)</f>
        <v>0</v>
      </c>
      <c r="F116">
        <f>IF(D116="Forward",1,0)</f>
        <v>1</v>
      </c>
      <c r="G116">
        <v>30</v>
      </c>
      <c r="H116">
        <v>50</v>
      </c>
      <c r="I116">
        <v>31.5</v>
      </c>
      <c r="J116">
        <v>5</v>
      </c>
      <c r="K116">
        <v>1.6</v>
      </c>
      <c r="L116">
        <v>14.1</v>
      </c>
      <c r="M116" s="1">
        <v>8382150</v>
      </c>
      <c r="N116" s="2">
        <f>IF(O116="US",1,0)</f>
        <v>1</v>
      </c>
      <c r="O116" t="s">
        <v>21</v>
      </c>
    </row>
    <row r="117" spans="1:15">
      <c r="A117" t="s">
        <v>137</v>
      </c>
      <c r="B117" t="s">
        <v>23</v>
      </c>
      <c r="C117">
        <f>IF(B117="east",1,0)</f>
        <v>1</v>
      </c>
      <c r="D117" t="s">
        <v>17</v>
      </c>
      <c r="E117">
        <f>IF(D117="Guard",1,0)</f>
        <v>1</v>
      </c>
      <c r="F117">
        <f>IF(D117="Forward",1,0)</f>
        <v>0</v>
      </c>
      <c r="G117">
        <v>26</v>
      </c>
      <c r="H117">
        <v>65</v>
      </c>
      <c r="I117">
        <v>27</v>
      </c>
      <c r="J117">
        <v>3.1</v>
      </c>
      <c r="K117">
        <v>5.4</v>
      </c>
      <c r="L117">
        <v>14.1</v>
      </c>
      <c r="M117" s="1">
        <v>8000000</v>
      </c>
      <c r="N117" s="2">
        <f>IF(O117="US",1,0)</f>
        <v>1</v>
      </c>
      <c r="O117" t="s">
        <v>21</v>
      </c>
    </row>
    <row r="118" spans="1:15">
      <c r="A118" t="s">
        <v>138</v>
      </c>
      <c r="B118" t="s">
        <v>16</v>
      </c>
      <c r="C118">
        <f>IF(B118="east",1,0)</f>
        <v>0</v>
      </c>
      <c r="D118" t="s">
        <v>24</v>
      </c>
      <c r="E118">
        <f>IF(D118="Guard",1,0)</f>
        <v>0</v>
      </c>
      <c r="F118">
        <f>IF(D118="Forward",1,0)</f>
        <v>1</v>
      </c>
      <c r="G118">
        <v>25</v>
      </c>
      <c r="H118">
        <v>43</v>
      </c>
      <c r="I118">
        <v>27.9</v>
      </c>
      <c r="J118">
        <v>6.7</v>
      </c>
      <c r="K118">
        <v>2.9</v>
      </c>
      <c r="L118">
        <v>14</v>
      </c>
      <c r="M118" s="1">
        <v>18485916</v>
      </c>
      <c r="N118" s="2">
        <f>IF(O118="US",1,0)</f>
        <v>0</v>
      </c>
      <c r="O118" t="s">
        <v>18</v>
      </c>
    </row>
    <row r="119" spans="1:15">
      <c r="A119" t="s">
        <v>139</v>
      </c>
      <c r="B119" t="s">
        <v>16</v>
      </c>
      <c r="C119">
        <f>IF(B119="east",1,0)</f>
        <v>0</v>
      </c>
      <c r="D119" t="s">
        <v>24</v>
      </c>
      <c r="E119">
        <f>IF(D119="Guard",1,0)</f>
        <v>0</v>
      </c>
      <c r="F119">
        <f>IF(D119="Forward",1,0)</f>
        <v>1</v>
      </c>
      <c r="G119">
        <v>25</v>
      </c>
      <c r="H119">
        <v>23</v>
      </c>
      <c r="I119">
        <v>34.5</v>
      </c>
      <c r="J119">
        <v>5.7</v>
      </c>
      <c r="K119">
        <v>1.7</v>
      </c>
      <c r="L119">
        <v>14</v>
      </c>
      <c r="M119" s="1">
        <v>11144093</v>
      </c>
      <c r="N119" s="2">
        <f>IF(O119="US",1,0)</f>
        <v>1</v>
      </c>
      <c r="O119" t="s">
        <v>21</v>
      </c>
    </row>
    <row r="120" spans="1:15">
      <c r="A120" t="s">
        <v>140</v>
      </c>
      <c r="B120" t="s">
        <v>16</v>
      </c>
      <c r="C120">
        <f>IF(B120="east",1,0)</f>
        <v>0</v>
      </c>
      <c r="D120" t="s">
        <v>17</v>
      </c>
      <c r="E120">
        <f>IF(D120="Guard",1,0)</f>
        <v>1</v>
      </c>
      <c r="F120">
        <f>IF(D120="Forward",1,0)</f>
        <v>0</v>
      </c>
      <c r="G120">
        <v>25</v>
      </c>
      <c r="H120">
        <v>67</v>
      </c>
      <c r="I120">
        <v>30.5</v>
      </c>
      <c r="J120">
        <v>4</v>
      </c>
      <c r="K120">
        <v>2.5</v>
      </c>
      <c r="L120">
        <v>13.9</v>
      </c>
      <c r="M120" s="1">
        <v>27000000</v>
      </c>
      <c r="N120" s="2">
        <f>IF(O120="US",1,0)</f>
        <v>1</v>
      </c>
      <c r="O120" t="s">
        <v>21</v>
      </c>
    </row>
    <row r="121" spans="1:15">
      <c r="A121" t="s">
        <v>141</v>
      </c>
      <c r="B121" t="s">
        <v>23</v>
      </c>
      <c r="C121">
        <f>IF(B121="east",1,0)</f>
        <v>1</v>
      </c>
      <c r="D121" t="s">
        <v>17</v>
      </c>
      <c r="E121">
        <f>IF(D121="Guard",1,0)</f>
        <v>1</v>
      </c>
      <c r="F121">
        <f>IF(D121="Forward",1,0)</f>
        <v>0</v>
      </c>
      <c r="G121">
        <v>24</v>
      </c>
      <c r="H121">
        <v>57</v>
      </c>
      <c r="I121">
        <v>27.6</v>
      </c>
      <c r="J121">
        <v>3.9</v>
      </c>
      <c r="K121">
        <v>5.5</v>
      </c>
      <c r="L121">
        <v>13.8</v>
      </c>
      <c r="M121" s="1">
        <v>35000000</v>
      </c>
      <c r="N121" s="2">
        <f>IF(O121="US",1,0)</f>
        <v>1</v>
      </c>
      <c r="O121" t="s">
        <v>21</v>
      </c>
    </row>
    <row r="122" spans="1:15">
      <c r="A122" t="s">
        <v>142</v>
      </c>
      <c r="B122" t="s">
        <v>23</v>
      </c>
      <c r="C122">
        <f>IF(B122="east",1,0)</f>
        <v>1</v>
      </c>
      <c r="D122" t="s">
        <v>24</v>
      </c>
      <c r="E122">
        <f>IF(D122="Guard",1,0)</f>
        <v>0</v>
      </c>
      <c r="F122">
        <f>IF(D122="Forward",1,0)</f>
        <v>1</v>
      </c>
      <c r="G122">
        <v>26</v>
      </c>
      <c r="H122">
        <v>45</v>
      </c>
      <c r="I122">
        <v>29.7</v>
      </c>
      <c r="J122">
        <v>4.2</v>
      </c>
      <c r="K122">
        <v>1.9</v>
      </c>
      <c r="L122">
        <v>13.8</v>
      </c>
      <c r="M122" s="1">
        <v>11000000</v>
      </c>
      <c r="N122" s="2">
        <f>IF(O122="US",1,0)</f>
        <v>1</v>
      </c>
      <c r="O122" t="s">
        <v>21</v>
      </c>
    </row>
    <row r="123" spans="1:15">
      <c r="A123" t="s">
        <v>143</v>
      </c>
      <c r="B123" t="s">
        <v>16</v>
      </c>
      <c r="C123">
        <f>IF(B123="east",1,0)</f>
        <v>0</v>
      </c>
      <c r="D123" t="s">
        <v>24</v>
      </c>
      <c r="E123">
        <f>IF(D123="Guard",1,0)</f>
        <v>0</v>
      </c>
      <c r="F123">
        <f>IF(D123="Forward",1,0)</f>
        <v>1</v>
      </c>
      <c r="G123">
        <v>19</v>
      </c>
      <c r="H123">
        <v>72</v>
      </c>
      <c r="I123">
        <v>27.6</v>
      </c>
      <c r="J123">
        <v>4.2</v>
      </c>
      <c r="K123">
        <v>1.8</v>
      </c>
      <c r="L123">
        <v>13.8</v>
      </c>
      <c r="M123" s="1">
        <v>9069840</v>
      </c>
      <c r="N123" s="2">
        <f>IF(O123="US",1,0)</f>
        <v>1</v>
      </c>
      <c r="O123" t="s">
        <v>21</v>
      </c>
    </row>
    <row r="124" spans="1:15">
      <c r="A124" t="s">
        <v>144</v>
      </c>
      <c r="B124" t="s">
        <v>16</v>
      </c>
      <c r="C124">
        <f>IF(B124="east",1,0)</f>
        <v>0</v>
      </c>
      <c r="D124" t="s">
        <v>17</v>
      </c>
      <c r="E124">
        <f>IF(D124="Guard",1,0)</f>
        <v>1</v>
      </c>
      <c r="F124">
        <f>IF(D124="Forward",1,0)</f>
        <v>0</v>
      </c>
      <c r="G124">
        <v>22</v>
      </c>
      <c r="H124">
        <v>82</v>
      </c>
      <c r="I124">
        <v>28.5</v>
      </c>
      <c r="J124">
        <v>5.0999999999999996</v>
      </c>
      <c r="K124">
        <v>3.7</v>
      </c>
      <c r="L124">
        <v>13.8</v>
      </c>
      <c r="M124" s="1">
        <v>3687960</v>
      </c>
      <c r="N124" s="2">
        <f>IF(O124="US",1,0)</f>
        <v>1</v>
      </c>
      <c r="O124" t="s">
        <v>21</v>
      </c>
    </row>
    <row r="125" spans="1:15">
      <c r="A125" t="s">
        <v>145</v>
      </c>
      <c r="B125" t="s">
        <v>16</v>
      </c>
      <c r="C125">
        <f>IF(B125="east",1,0)</f>
        <v>0</v>
      </c>
      <c r="D125" t="s">
        <v>24</v>
      </c>
      <c r="E125">
        <f>IF(D125="Guard",1,0)</f>
        <v>0</v>
      </c>
      <c r="F125">
        <f>IF(D125="Forward",1,0)</f>
        <v>1</v>
      </c>
      <c r="G125">
        <v>28</v>
      </c>
      <c r="H125">
        <v>45</v>
      </c>
      <c r="I125">
        <v>26.1</v>
      </c>
      <c r="J125">
        <v>4.0999999999999996</v>
      </c>
      <c r="K125">
        <v>2</v>
      </c>
      <c r="L125">
        <v>13.7</v>
      </c>
      <c r="M125" s="1">
        <v>23303571</v>
      </c>
      <c r="N125" s="2">
        <f>IF(O125="US",1,0)</f>
        <v>1</v>
      </c>
      <c r="O125" t="s">
        <v>21</v>
      </c>
    </row>
    <row r="126" spans="1:15">
      <c r="A126" t="s">
        <v>146</v>
      </c>
      <c r="B126" t="s">
        <v>23</v>
      </c>
      <c r="C126">
        <f>IF(B126="east",1,0)</f>
        <v>1</v>
      </c>
      <c r="D126" t="s">
        <v>24</v>
      </c>
      <c r="E126">
        <f>IF(D126="Guard",1,0)</f>
        <v>0</v>
      </c>
      <c r="F126">
        <f>IF(D126="Forward",1,0)</f>
        <v>1</v>
      </c>
      <c r="G126">
        <v>30</v>
      </c>
      <c r="H126">
        <v>67</v>
      </c>
      <c r="I126">
        <v>24.2</v>
      </c>
      <c r="J126">
        <v>6.4</v>
      </c>
      <c r="K126">
        <v>1.6</v>
      </c>
      <c r="L126">
        <v>13.7</v>
      </c>
      <c r="M126" s="1">
        <v>13445754</v>
      </c>
      <c r="N126" s="2">
        <f>IF(O126="US",1,0)</f>
        <v>1</v>
      </c>
      <c r="O126" t="s">
        <v>21</v>
      </c>
    </row>
    <row r="127" spans="1:15">
      <c r="A127" t="s">
        <v>147</v>
      </c>
      <c r="B127" t="s">
        <v>16</v>
      </c>
      <c r="C127">
        <f>IF(B127="east",1,0)</f>
        <v>0</v>
      </c>
      <c r="D127" t="s">
        <v>24</v>
      </c>
      <c r="E127">
        <f>IF(D127="Guard",1,0)</f>
        <v>0</v>
      </c>
      <c r="F127">
        <f>IF(D127="Forward",1,0)</f>
        <v>1</v>
      </c>
      <c r="G127">
        <v>28</v>
      </c>
      <c r="H127">
        <v>69</v>
      </c>
      <c r="I127">
        <v>27.1</v>
      </c>
      <c r="J127">
        <v>5.3</v>
      </c>
      <c r="K127">
        <v>1</v>
      </c>
      <c r="L127">
        <v>13.6</v>
      </c>
      <c r="M127" s="1">
        <v>26580000</v>
      </c>
      <c r="N127" s="2">
        <f>IF(O127="US",1,0)</f>
        <v>1</v>
      </c>
      <c r="O127" t="s">
        <v>21</v>
      </c>
    </row>
    <row r="128" spans="1:15">
      <c r="A128" t="s">
        <v>148</v>
      </c>
      <c r="B128" t="s">
        <v>16</v>
      </c>
      <c r="C128">
        <f>IF(B128="east",1,0)</f>
        <v>0</v>
      </c>
      <c r="D128" t="s">
        <v>29</v>
      </c>
      <c r="E128">
        <f>IF(D128="Guard",1,0)</f>
        <v>0</v>
      </c>
      <c r="F128">
        <f>IF(D128="Forward",1,0)</f>
        <v>0</v>
      </c>
      <c r="G128">
        <v>26</v>
      </c>
      <c r="H128">
        <v>77</v>
      </c>
      <c r="I128">
        <v>26.1</v>
      </c>
      <c r="J128">
        <v>6.2</v>
      </c>
      <c r="K128">
        <v>2.2000000000000002</v>
      </c>
      <c r="L128">
        <v>13.6</v>
      </c>
      <c r="M128" s="1">
        <v>21551724</v>
      </c>
      <c r="N128" s="2">
        <f>IF(O128="US",1,0)</f>
        <v>1</v>
      </c>
      <c r="O128" t="s">
        <v>21</v>
      </c>
    </row>
    <row r="129" spans="1:15">
      <c r="A129" t="s">
        <v>149</v>
      </c>
      <c r="B129" t="s">
        <v>16</v>
      </c>
      <c r="C129">
        <f>IF(B129="east",1,0)</f>
        <v>0</v>
      </c>
      <c r="D129" t="s">
        <v>29</v>
      </c>
      <c r="E129">
        <f>IF(D129="Guard",1,0)</f>
        <v>0</v>
      </c>
      <c r="F129">
        <f>IF(D129="Forward",1,0)</f>
        <v>0</v>
      </c>
      <c r="G129">
        <v>23</v>
      </c>
      <c r="H129">
        <v>11</v>
      </c>
      <c r="I129">
        <v>25.8</v>
      </c>
      <c r="J129">
        <v>11.1</v>
      </c>
      <c r="K129">
        <v>1.1000000000000001</v>
      </c>
      <c r="L129">
        <v>13.6</v>
      </c>
      <c r="M129" s="1">
        <v>6045000</v>
      </c>
      <c r="N129" s="2">
        <f>IF(O129="US",1,0)</f>
        <v>0</v>
      </c>
      <c r="O129" t="s">
        <v>18</v>
      </c>
    </row>
    <row r="130" spans="1:15">
      <c r="A130" t="s">
        <v>150</v>
      </c>
      <c r="B130" t="s">
        <v>16</v>
      </c>
      <c r="C130">
        <f>IF(B130="east",1,0)</f>
        <v>0</v>
      </c>
      <c r="D130" t="s">
        <v>17</v>
      </c>
      <c r="E130">
        <f>IF(D130="Guard",1,0)</f>
        <v>1</v>
      </c>
      <c r="F130">
        <f>IF(D130="Forward",1,0)</f>
        <v>0</v>
      </c>
      <c r="G130">
        <v>22</v>
      </c>
      <c r="H130">
        <v>62</v>
      </c>
      <c r="I130">
        <v>25.8</v>
      </c>
      <c r="J130">
        <v>5.9</v>
      </c>
      <c r="K130">
        <v>2.8</v>
      </c>
      <c r="L130">
        <v>13.6</v>
      </c>
      <c r="M130" s="1">
        <v>5715120</v>
      </c>
      <c r="N130" s="2">
        <f>IF(O130="US",1,0)</f>
        <v>1</v>
      </c>
      <c r="O130" t="s">
        <v>21</v>
      </c>
    </row>
    <row r="131" spans="1:15">
      <c r="A131" t="s">
        <v>151</v>
      </c>
      <c r="B131" t="s">
        <v>16</v>
      </c>
      <c r="C131">
        <f>IF(B131="east",1,0)</f>
        <v>0</v>
      </c>
      <c r="D131" t="s">
        <v>17</v>
      </c>
      <c r="E131">
        <f>IF(D131="Guard",1,0)</f>
        <v>1</v>
      </c>
      <c r="F131">
        <f>IF(D131="Forward",1,0)</f>
        <v>0</v>
      </c>
      <c r="G131">
        <v>23</v>
      </c>
      <c r="H131">
        <v>57</v>
      </c>
      <c r="I131">
        <v>25.8</v>
      </c>
      <c r="J131">
        <v>3.3</v>
      </c>
      <c r="K131">
        <v>3.6</v>
      </c>
      <c r="L131">
        <v>13.6</v>
      </c>
      <c r="M131" s="1">
        <v>3000000</v>
      </c>
      <c r="N131" s="2">
        <f>IF(O131="US",1,0)</f>
        <v>0</v>
      </c>
      <c r="O131" t="s">
        <v>18</v>
      </c>
    </row>
    <row r="132" spans="1:15">
      <c r="A132" t="s">
        <v>152</v>
      </c>
      <c r="B132" t="s">
        <v>16</v>
      </c>
      <c r="C132">
        <f>IF(B132="east",1,0)</f>
        <v>0</v>
      </c>
      <c r="D132" t="s">
        <v>17</v>
      </c>
      <c r="E132">
        <f>IF(D132="Guard",1,0)</f>
        <v>1</v>
      </c>
      <c r="F132">
        <f>IF(D132="Forward",1,0)</f>
        <v>0</v>
      </c>
      <c r="G132">
        <v>21</v>
      </c>
      <c r="H132">
        <v>82</v>
      </c>
      <c r="I132">
        <v>26.2</v>
      </c>
      <c r="J132">
        <v>2.9</v>
      </c>
      <c r="K132">
        <v>3.4</v>
      </c>
      <c r="L132">
        <v>13.5</v>
      </c>
      <c r="M132" s="1">
        <v>10603560</v>
      </c>
      <c r="N132" s="2">
        <f>IF(O132="US",1,0)</f>
        <v>1</v>
      </c>
      <c r="O132" t="s">
        <v>21</v>
      </c>
    </row>
    <row r="133" spans="1:15">
      <c r="A133" t="s">
        <v>153</v>
      </c>
      <c r="B133" t="s">
        <v>16</v>
      </c>
      <c r="C133">
        <f>IF(B133="east",1,0)</f>
        <v>0</v>
      </c>
      <c r="D133" t="s">
        <v>17</v>
      </c>
      <c r="E133">
        <f>IF(D133="Guard",1,0)</f>
        <v>1</v>
      </c>
      <c r="F133">
        <f>IF(D133="Forward",1,0)</f>
        <v>0</v>
      </c>
      <c r="G133">
        <v>33</v>
      </c>
      <c r="H133">
        <v>80</v>
      </c>
      <c r="I133">
        <v>26.6</v>
      </c>
      <c r="J133">
        <v>2.6</v>
      </c>
      <c r="K133">
        <v>1.4</v>
      </c>
      <c r="L133">
        <v>13.5</v>
      </c>
      <c r="M133" s="1">
        <v>3634153</v>
      </c>
      <c r="N133" s="2">
        <f>IF(O133="US",1,0)</f>
        <v>1</v>
      </c>
      <c r="O133" t="s">
        <v>21</v>
      </c>
    </row>
    <row r="134" spans="1:15">
      <c r="A134" t="s">
        <v>154</v>
      </c>
      <c r="B134" t="s">
        <v>16</v>
      </c>
      <c r="C134">
        <f>IF(B134="east",1,0)</f>
        <v>0</v>
      </c>
      <c r="D134" t="s">
        <v>17</v>
      </c>
      <c r="E134">
        <f>IF(D134="Guard",1,0)</f>
        <v>1</v>
      </c>
      <c r="F134">
        <f>IF(D134="Forward",1,0)</f>
        <v>0</v>
      </c>
      <c r="G134">
        <v>26</v>
      </c>
      <c r="H134">
        <v>39</v>
      </c>
      <c r="I134">
        <v>23.9</v>
      </c>
      <c r="J134">
        <v>2</v>
      </c>
      <c r="K134">
        <v>3.1</v>
      </c>
      <c r="L134">
        <v>13.4</v>
      </c>
      <c r="M134" s="1">
        <v>31848215</v>
      </c>
      <c r="N134" s="2">
        <f>IF(O134="US",1,0)</f>
        <v>1</v>
      </c>
      <c r="O134" t="s">
        <v>21</v>
      </c>
    </row>
    <row r="135" spans="1:15">
      <c r="A135" t="s">
        <v>155</v>
      </c>
      <c r="B135" t="s">
        <v>23</v>
      </c>
      <c r="C135">
        <f>IF(B135="east",1,0)</f>
        <v>1</v>
      </c>
      <c r="D135" t="s">
        <v>17</v>
      </c>
      <c r="E135">
        <f>IF(D135="Guard",1,0)</f>
        <v>1</v>
      </c>
      <c r="F135">
        <f>IF(D135="Forward",1,0)</f>
        <v>0</v>
      </c>
      <c r="G135">
        <v>25</v>
      </c>
      <c r="H135">
        <v>75</v>
      </c>
      <c r="I135">
        <v>29.4</v>
      </c>
      <c r="J135">
        <v>3.6</v>
      </c>
      <c r="K135">
        <v>3.3</v>
      </c>
      <c r="L135">
        <v>13.4</v>
      </c>
      <c r="M135" s="1">
        <v>8741209</v>
      </c>
      <c r="N135" s="2">
        <f>IF(O135="US",1,0)</f>
        <v>1</v>
      </c>
      <c r="O135" t="s">
        <v>21</v>
      </c>
    </row>
    <row r="136" spans="1:15">
      <c r="A136" t="s">
        <v>156</v>
      </c>
      <c r="B136" t="s">
        <v>16</v>
      </c>
      <c r="C136">
        <f>IF(B136="east",1,0)</f>
        <v>0</v>
      </c>
      <c r="D136" t="s">
        <v>24</v>
      </c>
      <c r="E136">
        <f>IF(D136="Guard",1,0)</f>
        <v>0</v>
      </c>
      <c r="F136">
        <f>IF(D136="Forward",1,0)</f>
        <v>1</v>
      </c>
      <c r="G136">
        <v>25</v>
      </c>
      <c r="H136">
        <v>82</v>
      </c>
      <c r="I136">
        <v>33.299999999999997</v>
      </c>
      <c r="J136">
        <v>5.0999999999999996</v>
      </c>
      <c r="K136">
        <v>2.5</v>
      </c>
      <c r="L136">
        <v>13.4</v>
      </c>
      <c r="M136" s="1">
        <v>2221677</v>
      </c>
      <c r="N136" s="2">
        <f>IF(O136="US",1,0)</f>
        <v>0</v>
      </c>
      <c r="O136" t="s">
        <v>18</v>
      </c>
    </row>
    <row r="137" spans="1:15">
      <c r="A137" t="s">
        <v>157</v>
      </c>
      <c r="B137" t="s">
        <v>23</v>
      </c>
      <c r="C137">
        <f>IF(B137="east",1,0)</f>
        <v>1</v>
      </c>
      <c r="D137" t="s">
        <v>24</v>
      </c>
      <c r="E137">
        <f>IF(D137="Guard",1,0)</f>
        <v>0</v>
      </c>
      <c r="F137">
        <f>IF(D137="Forward",1,0)</f>
        <v>1</v>
      </c>
      <c r="G137">
        <v>33</v>
      </c>
      <c r="H137">
        <v>63</v>
      </c>
      <c r="I137">
        <v>27.7</v>
      </c>
      <c r="J137">
        <v>5.0999999999999996</v>
      </c>
      <c r="K137">
        <v>2.5</v>
      </c>
      <c r="L137">
        <v>13.3</v>
      </c>
      <c r="M137" s="1">
        <v>26634146</v>
      </c>
      <c r="N137" s="2">
        <f>IF(O137="US",1,0)</f>
        <v>1</v>
      </c>
      <c r="O137" t="s">
        <v>21</v>
      </c>
    </row>
    <row r="138" spans="1:15">
      <c r="A138" t="s">
        <v>158</v>
      </c>
      <c r="B138" t="s">
        <v>16</v>
      </c>
      <c r="C138">
        <f>IF(B138="east",1,0)</f>
        <v>0</v>
      </c>
      <c r="D138" t="s">
        <v>24</v>
      </c>
      <c r="E138">
        <f>IF(D138="Guard",1,0)</f>
        <v>0</v>
      </c>
      <c r="F138">
        <f>IF(D138="Forward",1,0)</f>
        <v>1</v>
      </c>
      <c r="G138">
        <v>26</v>
      </c>
      <c r="H138">
        <v>82</v>
      </c>
      <c r="I138">
        <v>23.3</v>
      </c>
      <c r="J138">
        <v>5.4</v>
      </c>
      <c r="K138">
        <v>1.4</v>
      </c>
      <c r="L138">
        <v>13.2</v>
      </c>
      <c r="M138" s="1">
        <v>17500000</v>
      </c>
      <c r="N138" s="2">
        <f>IF(O138="US",1,0)</f>
        <v>1</v>
      </c>
      <c r="O138" t="s">
        <v>21</v>
      </c>
    </row>
    <row r="139" spans="1:15">
      <c r="A139" t="s">
        <v>159</v>
      </c>
      <c r="B139" t="s">
        <v>23</v>
      </c>
      <c r="C139">
        <f>IF(B139="east",1,0)</f>
        <v>1</v>
      </c>
      <c r="D139" t="s">
        <v>17</v>
      </c>
      <c r="E139">
        <f>IF(D139="Guard",1,0)</f>
        <v>1</v>
      </c>
      <c r="F139">
        <f>IF(D139="Forward",1,0)</f>
        <v>0</v>
      </c>
      <c r="G139">
        <v>23</v>
      </c>
      <c r="H139">
        <v>66</v>
      </c>
      <c r="I139">
        <v>26.9</v>
      </c>
      <c r="J139">
        <v>5.0999999999999996</v>
      </c>
      <c r="K139">
        <v>2.2000000000000002</v>
      </c>
      <c r="L139">
        <v>13.2</v>
      </c>
      <c r="M139" s="1">
        <v>3492480</v>
      </c>
      <c r="N139" s="2">
        <f>IF(O139="US",1,0)</f>
        <v>1</v>
      </c>
      <c r="O139" t="s">
        <v>21</v>
      </c>
    </row>
    <row r="140" spans="1:15">
      <c r="A140" t="s">
        <v>160</v>
      </c>
      <c r="B140" t="s">
        <v>23</v>
      </c>
      <c r="C140">
        <f>IF(B140="east",1,0)</f>
        <v>1</v>
      </c>
      <c r="D140" t="s">
        <v>24</v>
      </c>
      <c r="E140">
        <f>IF(D140="Guard",1,0)</f>
        <v>0</v>
      </c>
      <c r="F140">
        <f>IF(D140="Forward",1,0)</f>
        <v>1</v>
      </c>
      <c r="G140">
        <v>30</v>
      </c>
      <c r="H140">
        <v>69</v>
      </c>
      <c r="I140">
        <v>26.2</v>
      </c>
      <c r="J140">
        <v>4.5</v>
      </c>
      <c r="K140">
        <v>2.7</v>
      </c>
      <c r="L140">
        <v>13</v>
      </c>
      <c r="M140" s="1">
        <v>21477272</v>
      </c>
      <c r="N140" s="2">
        <f>IF(O140="US",1,0)</f>
        <v>1</v>
      </c>
      <c r="O140" t="s">
        <v>21</v>
      </c>
    </row>
    <row r="141" spans="1:15">
      <c r="A141" t="s">
        <v>161</v>
      </c>
      <c r="B141" t="s">
        <v>16</v>
      </c>
      <c r="C141">
        <f>IF(B141="east",1,0)</f>
        <v>0</v>
      </c>
      <c r="D141" t="s">
        <v>17</v>
      </c>
      <c r="E141">
        <f>IF(D141="Guard",1,0)</f>
        <v>1</v>
      </c>
      <c r="F141">
        <f>IF(D141="Forward",1,0)</f>
        <v>0</v>
      </c>
      <c r="G141">
        <v>26</v>
      </c>
      <c r="H141">
        <v>66</v>
      </c>
      <c r="I141">
        <v>22.2</v>
      </c>
      <c r="J141">
        <v>2.9</v>
      </c>
      <c r="K141">
        <v>3.9</v>
      </c>
      <c r="L141">
        <v>13</v>
      </c>
      <c r="M141" s="1">
        <v>2270735</v>
      </c>
      <c r="N141" s="2">
        <f>IF(O141="US",1,0)</f>
        <v>1</v>
      </c>
      <c r="O141" t="s">
        <v>21</v>
      </c>
    </row>
    <row r="142" spans="1:15">
      <c r="A142" t="s">
        <v>162</v>
      </c>
      <c r="B142" t="s">
        <v>23</v>
      </c>
      <c r="C142">
        <f>IF(B142="east",1,0)</f>
        <v>1</v>
      </c>
      <c r="D142" t="s">
        <v>17</v>
      </c>
      <c r="E142">
        <f>IF(D142="Guard",1,0)</f>
        <v>1</v>
      </c>
      <c r="F142">
        <f>IF(D142="Forward",1,0)</f>
        <v>0</v>
      </c>
      <c r="G142">
        <v>29</v>
      </c>
      <c r="H142">
        <v>52</v>
      </c>
      <c r="I142">
        <v>26.5</v>
      </c>
      <c r="J142">
        <v>2.6</v>
      </c>
      <c r="K142">
        <v>2.4</v>
      </c>
      <c r="L142">
        <v>12.8</v>
      </c>
      <c r="M142" s="1">
        <v>8482144</v>
      </c>
      <c r="N142" s="2">
        <f>IF(O142="US",1,0)</f>
        <v>1</v>
      </c>
      <c r="O142" t="s">
        <v>21</v>
      </c>
    </row>
    <row r="143" spans="1:15">
      <c r="A143" t="s">
        <v>163</v>
      </c>
      <c r="B143" t="s">
        <v>16</v>
      </c>
      <c r="C143">
        <f>IF(B143="east",1,0)</f>
        <v>0</v>
      </c>
      <c r="D143" t="s">
        <v>17</v>
      </c>
      <c r="E143">
        <f>IF(D143="Guard",1,0)</f>
        <v>1</v>
      </c>
      <c r="F143">
        <f>IF(D143="Forward",1,0)</f>
        <v>0</v>
      </c>
      <c r="G143">
        <v>26</v>
      </c>
      <c r="H143">
        <v>80</v>
      </c>
      <c r="I143">
        <v>28.5</v>
      </c>
      <c r="J143">
        <v>4.0999999999999996</v>
      </c>
      <c r="K143">
        <v>4.5999999999999996</v>
      </c>
      <c r="L143">
        <v>12.7</v>
      </c>
      <c r="M143" s="1">
        <v>2378870</v>
      </c>
      <c r="N143" s="2">
        <f>IF(O143="US",1,0)</f>
        <v>1</v>
      </c>
      <c r="O143" t="s">
        <v>21</v>
      </c>
    </row>
    <row r="144" spans="1:15">
      <c r="A144" t="s">
        <v>164</v>
      </c>
      <c r="B144" t="s">
        <v>16</v>
      </c>
      <c r="C144">
        <f>IF(B144="east",1,0)</f>
        <v>0</v>
      </c>
      <c r="D144" t="s">
        <v>17</v>
      </c>
      <c r="E144">
        <f>IF(D144="Guard",1,0)</f>
        <v>1</v>
      </c>
      <c r="F144">
        <f>IF(D144="Forward",1,0)</f>
        <v>0</v>
      </c>
      <c r="G144">
        <v>27</v>
      </c>
      <c r="H144">
        <v>62</v>
      </c>
      <c r="I144">
        <v>22</v>
      </c>
      <c r="J144">
        <v>1.9</v>
      </c>
      <c r="K144">
        <v>3</v>
      </c>
      <c r="L144">
        <v>12.5</v>
      </c>
      <c r="M144" s="1">
        <v>18797619</v>
      </c>
      <c r="N144" s="2">
        <f>IF(O144="US",1,0)</f>
        <v>1</v>
      </c>
      <c r="O144" t="s">
        <v>21</v>
      </c>
    </row>
    <row r="145" spans="1:15">
      <c r="A145" t="s">
        <v>165</v>
      </c>
      <c r="B145" t="s">
        <v>16</v>
      </c>
      <c r="C145">
        <f>IF(B145="east",1,0)</f>
        <v>0</v>
      </c>
      <c r="D145" t="s">
        <v>29</v>
      </c>
      <c r="E145">
        <f>IF(D145="Guard",1,0)</f>
        <v>0</v>
      </c>
      <c r="F145">
        <f>IF(D145="Forward",1,0)</f>
        <v>0</v>
      </c>
      <c r="G145">
        <v>27</v>
      </c>
      <c r="H145">
        <v>72</v>
      </c>
      <c r="I145">
        <v>27.2</v>
      </c>
      <c r="J145">
        <v>8</v>
      </c>
      <c r="K145">
        <v>0.8</v>
      </c>
      <c r="L145">
        <v>12.5</v>
      </c>
      <c r="M145" s="1">
        <v>8104000</v>
      </c>
      <c r="N145" s="2">
        <f>IF(O145="US",1,0)</f>
        <v>0</v>
      </c>
      <c r="O145" t="s">
        <v>18</v>
      </c>
    </row>
    <row r="146" spans="1:15">
      <c r="A146" t="s">
        <v>166</v>
      </c>
      <c r="B146" t="s">
        <v>16</v>
      </c>
      <c r="C146">
        <f>IF(B146="east",1,0)</f>
        <v>0</v>
      </c>
      <c r="D146" t="s">
        <v>24</v>
      </c>
      <c r="E146">
        <f>IF(D146="Guard",1,0)</f>
        <v>0</v>
      </c>
      <c r="F146">
        <f>IF(D146="Forward",1,0)</f>
        <v>1</v>
      </c>
      <c r="G146">
        <v>21</v>
      </c>
      <c r="H146">
        <v>55</v>
      </c>
      <c r="I146">
        <v>21.4</v>
      </c>
      <c r="J146">
        <v>4.3</v>
      </c>
      <c r="K146">
        <v>1.5</v>
      </c>
      <c r="L146">
        <v>12.5</v>
      </c>
      <c r="M146" s="1">
        <v>2221677</v>
      </c>
      <c r="N146" s="2">
        <f>IF(O146="US",1,0)</f>
        <v>1</v>
      </c>
      <c r="O146" t="s">
        <v>21</v>
      </c>
    </row>
    <row r="147" spans="1:15">
      <c r="A147" t="s">
        <v>167</v>
      </c>
      <c r="B147" t="s">
        <v>16</v>
      </c>
      <c r="C147">
        <f>IF(B147="east",1,0)</f>
        <v>0</v>
      </c>
      <c r="D147" t="s">
        <v>17</v>
      </c>
      <c r="E147">
        <f>IF(D147="Guard",1,0)</f>
        <v>1</v>
      </c>
      <c r="F147">
        <f>IF(D147="Forward",1,0)</f>
        <v>0</v>
      </c>
      <c r="G147">
        <v>22</v>
      </c>
      <c r="H147">
        <v>69</v>
      </c>
      <c r="I147">
        <v>26.4</v>
      </c>
      <c r="J147">
        <v>3.2</v>
      </c>
      <c r="K147">
        <v>1.6</v>
      </c>
      <c r="L147">
        <v>12.5</v>
      </c>
      <c r="M147" s="1">
        <v>1955377</v>
      </c>
      <c r="N147" s="2">
        <f>IF(O147="US",1,0)</f>
        <v>1</v>
      </c>
      <c r="O147" t="s">
        <v>21</v>
      </c>
    </row>
    <row r="148" spans="1:15">
      <c r="A148" t="s">
        <v>168</v>
      </c>
      <c r="B148" t="s">
        <v>16</v>
      </c>
      <c r="C148">
        <f>IF(B148="east",1,0)</f>
        <v>0</v>
      </c>
      <c r="D148" t="s">
        <v>29</v>
      </c>
      <c r="E148">
        <f>IF(D148="Guard",1,0)</f>
        <v>0</v>
      </c>
      <c r="F148">
        <f>IF(D148="Forward",1,0)</f>
        <v>0</v>
      </c>
      <c r="G148">
        <v>22</v>
      </c>
      <c r="H148">
        <v>74</v>
      </c>
      <c r="I148">
        <v>26.5</v>
      </c>
      <c r="J148">
        <v>7.5</v>
      </c>
      <c r="K148">
        <v>1.4</v>
      </c>
      <c r="L148">
        <v>12.5</v>
      </c>
      <c r="M148" s="1">
        <v>1272870</v>
      </c>
      <c r="N148" s="2">
        <f>IF(O148="US",1,0)</f>
        <v>0</v>
      </c>
      <c r="O148" t="s">
        <v>18</v>
      </c>
    </row>
    <row r="149" spans="1:15">
      <c r="A149" t="s">
        <v>169</v>
      </c>
      <c r="B149" t="s">
        <v>16</v>
      </c>
      <c r="C149">
        <f>IF(B149="east",1,0)</f>
        <v>0</v>
      </c>
      <c r="D149" t="s">
        <v>17</v>
      </c>
      <c r="E149">
        <f>IF(D149="Guard",1,0)</f>
        <v>1</v>
      </c>
      <c r="F149">
        <f>IF(D149="Forward",1,0)</f>
        <v>0</v>
      </c>
      <c r="G149">
        <v>22</v>
      </c>
      <c r="H149">
        <v>77</v>
      </c>
      <c r="I149">
        <v>29.1</v>
      </c>
      <c r="J149">
        <v>3.2</v>
      </c>
      <c r="K149">
        <v>2</v>
      </c>
      <c r="L149">
        <v>12.3</v>
      </c>
      <c r="M149" s="1">
        <v>7714286</v>
      </c>
      <c r="N149" s="2">
        <f>IF(O149="US",1,0)</f>
        <v>1</v>
      </c>
      <c r="O149" t="s">
        <v>21</v>
      </c>
    </row>
    <row r="150" spans="1:15">
      <c r="A150" t="s">
        <v>170</v>
      </c>
      <c r="B150" t="s">
        <v>23</v>
      </c>
      <c r="C150">
        <f>IF(B150="east",1,0)</f>
        <v>1</v>
      </c>
      <c r="D150" t="s">
        <v>24</v>
      </c>
      <c r="E150">
        <f>IF(D150="Guard",1,0)</f>
        <v>0</v>
      </c>
      <c r="F150">
        <f>IF(D150="Forward",1,0)</f>
        <v>1</v>
      </c>
      <c r="G150">
        <v>21</v>
      </c>
      <c r="H150">
        <v>66</v>
      </c>
      <c r="I150">
        <v>27</v>
      </c>
      <c r="J150">
        <v>4.0999999999999996</v>
      </c>
      <c r="K150">
        <v>1.6</v>
      </c>
      <c r="L150">
        <v>12.3</v>
      </c>
      <c r="M150" s="1">
        <v>3398640</v>
      </c>
      <c r="N150" s="2">
        <f>IF(O150="US",1,0)</f>
        <v>1</v>
      </c>
      <c r="O150" t="s">
        <v>21</v>
      </c>
    </row>
    <row r="151" spans="1:15">
      <c r="A151" t="s">
        <v>171</v>
      </c>
      <c r="B151" t="s">
        <v>16</v>
      </c>
      <c r="C151">
        <f>IF(B151="east",1,0)</f>
        <v>0</v>
      </c>
      <c r="D151" t="s">
        <v>17</v>
      </c>
      <c r="E151">
        <f>IF(D151="Guard",1,0)</f>
        <v>1</v>
      </c>
      <c r="F151">
        <f>IF(D151="Forward",1,0)</f>
        <v>0</v>
      </c>
      <c r="G151">
        <v>27</v>
      </c>
      <c r="H151">
        <v>49</v>
      </c>
      <c r="I151">
        <v>23</v>
      </c>
      <c r="J151">
        <v>3.2</v>
      </c>
      <c r="K151">
        <v>2.6</v>
      </c>
      <c r="L151">
        <v>12.3</v>
      </c>
      <c r="M151" s="1">
        <v>3080921</v>
      </c>
      <c r="N151" s="2">
        <f>IF(O151="US",1,0)</f>
        <v>1</v>
      </c>
      <c r="O151" t="s">
        <v>21</v>
      </c>
    </row>
    <row r="152" spans="1:15">
      <c r="A152" t="s">
        <v>172</v>
      </c>
      <c r="B152" t="s">
        <v>23</v>
      </c>
      <c r="C152">
        <f>IF(B152="east",1,0)</f>
        <v>1</v>
      </c>
      <c r="D152" t="s">
        <v>24</v>
      </c>
      <c r="E152">
        <f>IF(D152="Guard",1,0)</f>
        <v>0</v>
      </c>
      <c r="F152">
        <f>IF(D152="Forward",1,0)</f>
        <v>1</v>
      </c>
      <c r="G152">
        <v>23</v>
      </c>
      <c r="H152">
        <v>36</v>
      </c>
      <c r="I152">
        <v>23.1</v>
      </c>
      <c r="J152">
        <v>5.6</v>
      </c>
      <c r="K152">
        <v>2.2999999999999998</v>
      </c>
      <c r="L152">
        <v>12.2</v>
      </c>
      <c r="M152" s="1">
        <v>22500000</v>
      </c>
      <c r="N152" s="2">
        <f>IF(O152="US",1,0)</f>
        <v>0</v>
      </c>
      <c r="O152" t="s">
        <v>18</v>
      </c>
    </row>
    <row r="153" spans="1:15">
      <c r="A153" t="s">
        <v>173</v>
      </c>
      <c r="B153" t="s">
        <v>16</v>
      </c>
      <c r="C153">
        <f>IF(B153="east",1,0)</f>
        <v>0</v>
      </c>
      <c r="D153" t="s">
        <v>24</v>
      </c>
      <c r="E153">
        <f>IF(D153="Guard",1,0)</f>
        <v>0</v>
      </c>
      <c r="F153">
        <f>IF(D153="Forward",1,0)</f>
        <v>1</v>
      </c>
      <c r="G153">
        <v>29</v>
      </c>
      <c r="H153">
        <v>54</v>
      </c>
      <c r="I153">
        <v>30.5</v>
      </c>
      <c r="J153">
        <v>3.8</v>
      </c>
      <c r="K153">
        <v>2.4</v>
      </c>
      <c r="L153">
        <v>12.2</v>
      </c>
      <c r="M153" s="1">
        <v>20543478</v>
      </c>
      <c r="N153" s="2">
        <f>IF(O153="US",1,0)</f>
        <v>1</v>
      </c>
      <c r="O153" t="s">
        <v>21</v>
      </c>
    </row>
    <row r="154" spans="1:15">
      <c r="A154" t="s">
        <v>174</v>
      </c>
      <c r="B154" t="s">
        <v>23</v>
      </c>
      <c r="C154">
        <f>IF(B154="east",1,0)</f>
        <v>1</v>
      </c>
      <c r="D154" t="s">
        <v>17</v>
      </c>
      <c r="E154">
        <f>IF(D154="Guard",1,0)</f>
        <v>1</v>
      </c>
      <c r="F154">
        <f>IF(D154="Forward",1,0)</f>
        <v>0</v>
      </c>
      <c r="G154">
        <v>31</v>
      </c>
      <c r="H154">
        <v>77</v>
      </c>
      <c r="I154">
        <v>27.4</v>
      </c>
      <c r="J154">
        <v>2.7</v>
      </c>
      <c r="K154">
        <v>2.1</v>
      </c>
      <c r="L154">
        <v>12.2</v>
      </c>
      <c r="M154" s="1">
        <v>16834692</v>
      </c>
      <c r="N154" s="2">
        <f>IF(O154="US",1,0)</f>
        <v>1</v>
      </c>
      <c r="O154" t="s">
        <v>21</v>
      </c>
    </row>
    <row r="155" spans="1:15">
      <c r="A155" t="s">
        <v>175</v>
      </c>
      <c r="B155" t="s">
        <v>16</v>
      </c>
      <c r="C155">
        <f>IF(B155="east",1,0)</f>
        <v>0</v>
      </c>
      <c r="D155" t="s">
        <v>17</v>
      </c>
      <c r="E155">
        <f>IF(D155="Guard",1,0)</f>
        <v>1</v>
      </c>
      <c r="F155">
        <f>IF(D155="Forward",1,0)</f>
        <v>0</v>
      </c>
      <c r="G155">
        <v>29</v>
      </c>
      <c r="H155">
        <v>82</v>
      </c>
      <c r="I155">
        <v>30.4</v>
      </c>
      <c r="J155">
        <v>4.0999999999999996</v>
      </c>
      <c r="K155">
        <v>3.8</v>
      </c>
      <c r="L155">
        <v>12.2</v>
      </c>
      <c r="M155" s="1">
        <v>11990000</v>
      </c>
      <c r="N155" s="2">
        <f>IF(O155="US",1,0)</f>
        <v>1</v>
      </c>
      <c r="O155" t="s">
        <v>21</v>
      </c>
    </row>
    <row r="156" spans="1:15">
      <c r="A156" t="s">
        <v>176</v>
      </c>
      <c r="B156" t="s">
        <v>23</v>
      </c>
      <c r="C156">
        <f>IF(B156="east",1,0)</f>
        <v>1</v>
      </c>
      <c r="D156" t="s">
        <v>17</v>
      </c>
      <c r="E156">
        <f>IF(D156="Guard",1,0)</f>
        <v>1</v>
      </c>
      <c r="F156">
        <f>IF(D156="Forward",1,0)</f>
        <v>0</v>
      </c>
      <c r="G156">
        <v>19</v>
      </c>
      <c r="H156">
        <v>60</v>
      </c>
      <c r="I156">
        <v>24.1</v>
      </c>
      <c r="J156">
        <v>2.8</v>
      </c>
      <c r="K156">
        <v>2</v>
      </c>
      <c r="L156">
        <v>12.2</v>
      </c>
      <c r="M156" s="1">
        <v>8237640</v>
      </c>
      <c r="N156" s="2">
        <f>IF(O156="US",1,0)</f>
        <v>1</v>
      </c>
      <c r="O156" t="s">
        <v>21</v>
      </c>
    </row>
    <row r="157" spans="1:15">
      <c r="A157" t="s">
        <v>177</v>
      </c>
      <c r="B157" t="s">
        <v>16</v>
      </c>
      <c r="C157">
        <f>IF(B157="east",1,0)</f>
        <v>0</v>
      </c>
      <c r="D157" t="s">
        <v>17</v>
      </c>
      <c r="E157">
        <f>IF(D157="Guard",1,0)</f>
        <v>1</v>
      </c>
      <c r="F157">
        <f>IF(D157="Forward",1,0)</f>
        <v>0</v>
      </c>
      <c r="G157">
        <v>23</v>
      </c>
      <c r="H157">
        <v>60</v>
      </c>
      <c r="I157">
        <v>25.7</v>
      </c>
      <c r="J157">
        <v>3.3</v>
      </c>
      <c r="K157">
        <v>1.6</v>
      </c>
      <c r="L157">
        <v>12.1</v>
      </c>
      <c r="M157" s="1">
        <v>11574075</v>
      </c>
      <c r="N157" s="2">
        <f>IF(O157="US",1,0)</f>
        <v>1</v>
      </c>
      <c r="O157" t="s">
        <v>21</v>
      </c>
    </row>
    <row r="158" spans="1:15">
      <c r="A158" t="s">
        <v>178</v>
      </c>
      <c r="B158" t="s">
        <v>16</v>
      </c>
      <c r="C158">
        <f>IF(B158="east",1,0)</f>
        <v>0</v>
      </c>
      <c r="D158" t="s">
        <v>29</v>
      </c>
      <c r="E158">
        <f>IF(D158="Guard",1,0)</f>
        <v>0</v>
      </c>
      <c r="F158">
        <f>IF(D158="Forward",1,0)</f>
        <v>0</v>
      </c>
      <c r="G158">
        <v>21</v>
      </c>
      <c r="H158">
        <v>77</v>
      </c>
      <c r="I158">
        <v>27.2</v>
      </c>
      <c r="J158">
        <v>11.6</v>
      </c>
      <c r="K158">
        <v>2.1</v>
      </c>
      <c r="L158">
        <v>12.1</v>
      </c>
      <c r="M158" s="1">
        <v>7178400</v>
      </c>
      <c r="N158" s="2">
        <f>IF(O158="US",1,0)</f>
        <v>1</v>
      </c>
      <c r="O158" t="s">
        <v>21</v>
      </c>
    </row>
    <row r="159" spans="1:15">
      <c r="A159" t="s">
        <v>179</v>
      </c>
      <c r="B159" t="s">
        <v>23</v>
      </c>
      <c r="C159">
        <f>IF(B159="east",1,0)</f>
        <v>1</v>
      </c>
      <c r="D159" t="s">
        <v>24</v>
      </c>
      <c r="E159">
        <f>IF(D159="Guard",1,0)</f>
        <v>0</v>
      </c>
      <c r="F159">
        <f>IF(D159="Forward",1,0)</f>
        <v>1</v>
      </c>
      <c r="G159">
        <v>30</v>
      </c>
      <c r="H159">
        <v>66</v>
      </c>
      <c r="I159">
        <v>30.2</v>
      </c>
      <c r="J159">
        <v>7.4</v>
      </c>
      <c r="K159">
        <v>4.8</v>
      </c>
      <c r="L159">
        <v>12</v>
      </c>
      <c r="M159" s="1">
        <v>19472240</v>
      </c>
      <c r="N159" s="2">
        <f>IF(O159="US",1,0)</f>
        <v>1</v>
      </c>
      <c r="O159" t="s">
        <v>21</v>
      </c>
    </row>
    <row r="160" spans="1:15">
      <c r="A160" t="s">
        <v>180</v>
      </c>
      <c r="B160" t="s">
        <v>16</v>
      </c>
      <c r="C160">
        <f>IF(B160="east",1,0)</f>
        <v>0</v>
      </c>
      <c r="D160" t="s">
        <v>17</v>
      </c>
      <c r="E160">
        <f>IF(D160="Guard",1,0)</f>
        <v>1</v>
      </c>
      <c r="F160">
        <f>IF(D160="Forward",1,0)</f>
        <v>0</v>
      </c>
      <c r="G160">
        <v>24</v>
      </c>
      <c r="H160">
        <v>44</v>
      </c>
      <c r="I160">
        <v>31.8</v>
      </c>
      <c r="J160">
        <v>4.8</v>
      </c>
      <c r="K160">
        <v>2.7</v>
      </c>
      <c r="L160">
        <v>12</v>
      </c>
      <c r="M160" s="1">
        <v>4921797</v>
      </c>
      <c r="N160" s="2">
        <f>IF(O160="US",1,0)</f>
        <v>1</v>
      </c>
      <c r="O160" t="s">
        <v>21</v>
      </c>
    </row>
    <row r="161" spans="1:15">
      <c r="A161" t="s">
        <v>181</v>
      </c>
      <c r="B161" t="s">
        <v>23</v>
      </c>
      <c r="C161">
        <f>IF(B161="east",1,0)</f>
        <v>1</v>
      </c>
      <c r="D161" t="s">
        <v>17</v>
      </c>
      <c r="E161">
        <f>IF(D161="Guard",1,0)</f>
        <v>1</v>
      </c>
      <c r="F161">
        <f>IF(D161="Forward",1,0)</f>
        <v>0</v>
      </c>
      <c r="G161">
        <v>25</v>
      </c>
      <c r="H161">
        <v>41</v>
      </c>
      <c r="I161">
        <v>26.3</v>
      </c>
      <c r="J161">
        <v>2.4</v>
      </c>
      <c r="K161">
        <v>2.6</v>
      </c>
      <c r="L161">
        <v>12</v>
      </c>
      <c r="M161" s="1">
        <v>4333333</v>
      </c>
      <c r="N161" s="2">
        <f>IF(O161="US",1,0)</f>
        <v>1</v>
      </c>
      <c r="O161" t="s">
        <v>21</v>
      </c>
    </row>
    <row r="162" spans="1:15">
      <c r="A162" t="s">
        <v>182</v>
      </c>
      <c r="B162" t="s">
        <v>16</v>
      </c>
      <c r="C162">
        <f>IF(B162="east",1,0)</f>
        <v>0</v>
      </c>
      <c r="D162" t="s">
        <v>17</v>
      </c>
      <c r="E162">
        <f>IF(D162="Guard",1,0)</f>
        <v>1</v>
      </c>
      <c r="F162">
        <f>IF(D162="Forward",1,0)</f>
        <v>0</v>
      </c>
      <c r="G162">
        <v>24</v>
      </c>
      <c r="H162">
        <v>1</v>
      </c>
      <c r="I162">
        <v>12</v>
      </c>
      <c r="J162">
        <v>3</v>
      </c>
      <c r="K162">
        <v>0</v>
      </c>
      <c r="L162">
        <v>12</v>
      </c>
      <c r="M162" s="1">
        <v>365767</v>
      </c>
      <c r="N162" s="2">
        <f>IF(O162="US",1,0)</f>
        <v>1</v>
      </c>
      <c r="O162" t="s">
        <v>21</v>
      </c>
    </row>
    <row r="163" spans="1:15">
      <c r="A163" t="s">
        <v>183</v>
      </c>
      <c r="B163" t="s">
        <v>23</v>
      </c>
      <c r="C163">
        <f>IF(B163="east",1,0)</f>
        <v>1</v>
      </c>
      <c r="D163" t="s">
        <v>29</v>
      </c>
      <c r="E163">
        <f>IF(D163="Guard",1,0)</f>
        <v>0</v>
      </c>
      <c r="F163">
        <f>IF(D163="Forward",1,0)</f>
        <v>0</v>
      </c>
      <c r="G163">
        <v>29</v>
      </c>
      <c r="H163">
        <v>71</v>
      </c>
      <c r="I163">
        <v>26.9</v>
      </c>
      <c r="J163">
        <v>5.3</v>
      </c>
      <c r="K163">
        <v>1.5</v>
      </c>
      <c r="L163">
        <v>11.9</v>
      </c>
      <c r="M163" s="1">
        <v>25318251</v>
      </c>
      <c r="N163" s="2">
        <f>IF(O163="US",1,0)</f>
        <v>1</v>
      </c>
      <c r="O163" t="s">
        <v>21</v>
      </c>
    </row>
    <row r="164" spans="1:15">
      <c r="A164" t="s">
        <v>184</v>
      </c>
      <c r="B164" t="s">
        <v>23</v>
      </c>
      <c r="C164">
        <f>IF(B164="east",1,0)</f>
        <v>1</v>
      </c>
      <c r="D164" t="s">
        <v>17</v>
      </c>
      <c r="E164">
        <f>IF(D164="Guard",1,0)</f>
        <v>1</v>
      </c>
      <c r="F164">
        <f>IF(D164="Forward",1,0)</f>
        <v>0</v>
      </c>
      <c r="G164">
        <v>22</v>
      </c>
      <c r="H164">
        <v>76</v>
      </c>
      <c r="I164">
        <v>33.200000000000003</v>
      </c>
      <c r="J164">
        <v>6.8</v>
      </c>
      <c r="K164">
        <v>5.9</v>
      </c>
      <c r="L164">
        <v>11.9</v>
      </c>
      <c r="M164" s="1">
        <v>7707709</v>
      </c>
      <c r="N164" s="2">
        <f>IF(O164="US",1,0)</f>
        <v>0</v>
      </c>
      <c r="O164" t="s">
        <v>18</v>
      </c>
    </row>
    <row r="165" spans="1:15">
      <c r="A165" t="s">
        <v>185</v>
      </c>
      <c r="B165" t="s">
        <v>16</v>
      </c>
      <c r="C165">
        <f>IF(B165="east",1,0)</f>
        <v>0</v>
      </c>
      <c r="D165" t="s">
        <v>24</v>
      </c>
      <c r="E165">
        <f>IF(D165="Guard",1,0)</f>
        <v>0</v>
      </c>
      <c r="F165">
        <f>IF(D165="Forward",1,0)</f>
        <v>1</v>
      </c>
      <c r="G165">
        <v>26</v>
      </c>
      <c r="H165">
        <v>14</v>
      </c>
      <c r="I165">
        <v>20.399999999999999</v>
      </c>
      <c r="J165">
        <v>2.4</v>
      </c>
      <c r="K165">
        <v>1.1000000000000001</v>
      </c>
      <c r="L165">
        <v>11.9</v>
      </c>
      <c r="M165" s="1">
        <v>230433</v>
      </c>
      <c r="N165" s="2">
        <f>IF(O165="US",1,0)</f>
        <v>1</v>
      </c>
      <c r="O165" t="s">
        <v>21</v>
      </c>
    </row>
    <row r="166" spans="1:15">
      <c r="A166" t="s">
        <v>186</v>
      </c>
      <c r="B166" t="s">
        <v>16</v>
      </c>
      <c r="C166">
        <f>IF(B166="east",1,0)</f>
        <v>0</v>
      </c>
      <c r="D166" t="s">
        <v>17</v>
      </c>
      <c r="E166">
        <f>IF(D166="Guard",1,0)</f>
        <v>1</v>
      </c>
      <c r="F166">
        <f>IF(D166="Forward",1,0)</f>
        <v>0</v>
      </c>
      <c r="G166">
        <v>19</v>
      </c>
      <c r="H166">
        <v>69</v>
      </c>
      <c r="I166">
        <v>22.6</v>
      </c>
      <c r="J166">
        <v>3.4</v>
      </c>
      <c r="K166">
        <v>3.9</v>
      </c>
      <c r="L166">
        <v>11.8</v>
      </c>
      <c r="M166" s="1">
        <v>12370320</v>
      </c>
      <c r="N166" s="2">
        <f>IF(O166="US",1,0)</f>
        <v>1</v>
      </c>
      <c r="O166" t="s">
        <v>21</v>
      </c>
    </row>
    <row r="167" spans="1:15">
      <c r="A167" t="s">
        <v>187</v>
      </c>
      <c r="B167" t="s">
        <v>23</v>
      </c>
      <c r="C167">
        <f>IF(B167="east",1,0)</f>
        <v>1</v>
      </c>
      <c r="D167" t="s">
        <v>29</v>
      </c>
      <c r="E167">
        <f>IF(D167="Guard",1,0)</f>
        <v>0</v>
      </c>
      <c r="F167">
        <f>IF(D167="Forward",1,0)</f>
        <v>0</v>
      </c>
      <c r="G167">
        <v>26</v>
      </c>
      <c r="H167">
        <v>78</v>
      </c>
      <c r="I167">
        <v>29.3</v>
      </c>
      <c r="J167">
        <v>7.4</v>
      </c>
      <c r="K167">
        <v>2</v>
      </c>
      <c r="L167">
        <v>11.8</v>
      </c>
      <c r="M167" s="1">
        <v>10850000</v>
      </c>
      <c r="N167" s="2">
        <f>IF(O167="US",1,0)</f>
        <v>1</v>
      </c>
      <c r="O167" t="s">
        <v>21</v>
      </c>
    </row>
    <row r="168" spans="1:15">
      <c r="A168" t="s">
        <v>188</v>
      </c>
      <c r="B168" t="s">
        <v>23</v>
      </c>
      <c r="C168">
        <f>IF(B168="east",1,0)</f>
        <v>1</v>
      </c>
      <c r="D168" t="s">
        <v>24</v>
      </c>
      <c r="E168">
        <f>IF(D168="Guard",1,0)</f>
        <v>0</v>
      </c>
      <c r="F168">
        <f>IF(D168="Forward",1,0)</f>
        <v>1</v>
      </c>
      <c r="G168">
        <v>22</v>
      </c>
      <c r="H168">
        <v>13</v>
      </c>
      <c r="I168">
        <v>30.9</v>
      </c>
      <c r="J168">
        <v>10.5</v>
      </c>
      <c r="K168">
        <v>1.8</v>
      </c>
      <c r="L168">
        <v>11.8</v>
      </c>
      <c r="M168" s="1">
        <v>160938</v>
      </c>
      <c r="N168" s="2">
        <f>IF(O168="US",1,0)</f>
        <v>1</v>
      </c>
      <c r="O168" t="s">
        <v>21</v>
      </c>
    </row>
    <row r="169" spans="1:15">
      <c r="A169" t="s">
        <v>189</v>
      </c>
      <c r="B169" t="s">
        <v>23</v>
      </c>
      <c r="C169">
        <f>IF(B169="east",1,0)</f>
        <v>1</v>
      </c>
      <c r="D169" t="s">
        <v>29</v>
      </c>
      <c r="E169">
        <f>IF(D169="Guard",1,0)</f>
        <v>0</v>
      </c>
      <c r="F169">
        <f>IF(D169="Forward",1,0)</f>
        <v>0</v>
      </c>
      <c r="G169">
        <v>26</v>
      </c>
      <c r="H169">
        <v>69</v>
      </c>
      <c r="I169">
        <v>27.8</v>
      </c>
      <c r="J169">
        <v>6.9</v>
      </c>
      <c r="K169">
        <v>3.7</v>
      </c>
      <c r="L169">
        <v>11.7</v>
      </c>
      <c r="M169" s="1">
        <v>25352272</v>
      </c>
      <c r="N169" s="2">
        <f>IF(O169="US",1,0)</f>
        <v>1</v>
      </c>
      <c r="O169" t="s">
        <v>21</v>
      </c>
    </row>
    <row r="170" spans="1:15">
      <c r="A170" t="s">
        <v>190</v>
      </c>
      <c r="B170" t="s">
        <v>16</v>
      </c>
      <c r="C170">
        <f>IF(B170="east",1,0)</f>
        <v>0</v>
      </c>
      <c r="D170" t="s">
        <v>24</v>
      </c>
      <c r="E170">
        <f>IF(D170="Guard",1,0)</f>
        <v>0</v>
      </c>
      <c r="F170">
        <f>IF(D170="Forward",1,0)</f>
        <v>1</v>
      </c>
      <c r="G170">
        <v>35</v>
      </c>
      <c r="H170">
        <v>69</v>
      </c>
      <c r="I170">
        <v>21.7</v>
      </c>
      <c r="J170">
        <v>2.1</v>
      </c>
      <c r="K170">
        <v>1.4</v>
      </c>
      <c r="L170">
        <v>11.7</v>
      </c>
      <c r="M170" s="1">
        <v>16666667</v>
      </c>
      <c r="N170" s="2">
        <f>IF(O170="US",1,0)</f>
        <v>1</v>
      </c>
      <c r="O170" t="s">
        <v>21</v>
      </c>
    </row>
    <row r="171" spans="1:15">
      <c r="A171" t="s">
        <v>191</v>
      </c>
      <c r="B171" t="s">
        <v>23</v>
      </c>
      <c r="C171">
        <f>IF(B171="east",1,0)</f>
        <v>1</v>
      </c>
      <c r="D171" t="s">
        <v>17</v>
      </c>
      <c r="E171">
        <f>IF(D171="Guard",1,0)</f>
        <v>1</v>
      </c>
      <c r="F171">
        <f>IF(D171="Forward",1,0)</f>
        <v>0</v>
      </c>
      <c r="G171">
        <v>21</v>
      </c>
      <c r="H171">
        <v>56</v>
      </c>
      <c r="I171">
        <v>26.2</v>
      </c>
      <c r="J171">
        <v>4.3</v>
      </c>
      <c r="K171">
        <v>2.6</v>
      </c>
      <c r="L171">
        <v>11.7</v>
      </c>
      <c r="M171" s="1">
        <v>7275600</v>
      </c>
      <c r="N171" s="2">
        <f>IF(O171="US",1,0)</f>
        <v>0</v>
      </c>
      <c r="O171" t="s">
        <v>18</v>
      </c>
    </row>
    <row r="172" spans="1:15">
      <c r="A172" t="s">
        <v>192</v>
      </c>
      <c r="B172" t="s">
        <v>16</v>
      </c>
      <c r="C172">
        <f>IF(B172="east",1,0)</f>
        <v>0</v>
      </c>
      <c r="D172" t="s">
        <v>29</v>
      </c>
      <c r="E172">
        <f>IF(D172="Guard",1,0)</f>
        <v>0</v>
      </c>
      <c r="F172">
        <f>IF(D172="Forward",1,0)</f>
        <v>0</v>
      </c>
      <c r="G172">
        <v>24</v>
      </c>
      <c r="H172">
        <v>60</v>
      </c>
      <c r="I172">
        <v>23.6</v>
      </c>
      <c r="J172">
        <v>8</v>
      </c>
      <c r="K172">
        <v>1</v>
      </c>
      <c r="L172">
        <v>11.7</v>
      </c>
      <c r="M172" s="1">
        <v>6276531</v>
      </c>
      <c r="N172" s="2">
        <f>IF(O172="US",1,0)</f>
        <v>1</v>
      </c>
      <c r="O172" t="s">
        <v>21</v>
      </c>
    </row>
    <row r="173" spans="1:15">
      <c r="A173" t="s">
        <v>193</v>
      </c>
      <c r="B173" t="s">
        <v>16</v>
      </c>
      <c r="C173">
        <f>IF(B173="east",1,0)</f>
        <v>0</v>
      </c>
      <c r="D173" t="s">
        <v>29</v>
      </c>
      <c r="E173">
        <f>IF(D173="Guard",1,0)</f>
        <v>0</v>
      </c>
      <c r="F173">
        <f>IF(D173="Forward",1,0)</f>
        <v>0</v>
      </c>
      <c r="G173">
        <v>21</v>
      </c>
      <c r="H173">
        <v>81</v>
      </c>
      <c r="I173">
        <v>25</v>
      </c>
      <c r="J173">
        <v>7.1</v>
      </c>
      <c r="K173">
        <v>3.7</v>
      </c>
      <c r="L173">
        <v>11.7</v>
      </c>
      <c r="M173" s="1">
        <v>5157960</v>
      </c>
      <c r="N173" s="2">
        <f>IF(O173="US",1,0)</f>
        <v>1</v>
      </c>
      <c r="O173" t="s">
        <v>21</v>
      </c>
    </row>
    <row r="174" spans="1:15">
      <c r="A174" t="s">
        <v>194</v>
      </c>
      <c r="B174" t="s">
        <v>16</v>
      </c>
      <c r="C174">
        <f>IF(B174="east",1,0)</f>
        <v>0</v>
      </c>
      <c r="D174" t="s">
        <v>17</v>
      </c>
      <c r="E174">
        <f>IF(D174="Guard",1,0)</f>
        <v>1</v>
      </c>
      <c r="F174">
        <f>IF(D174="Forward",1,0)</f>
        <v>0</v>
      </c>
      <c r="G174">
        <v>21</v>
      </c>
      <c r="H174">
        <v>59</v>
      </c>
      <c r="I174">
        <v>25.7</v>
      </c>
      <c r="J174">
        <v>2.5</v>
      </c>
      <c r="K174">
        <v>7.2</v>
      </c>
      <c r="L174">
        <v>11.7</v>
      </c>
      <c r="M174" s="1">
        <v>2638200</v>
      </c>
      <c r="N174" s="2">
        <f>IF(O174="US",1,0)</f>
        <v>1</v>
      </c>
      <c r="O174" t="s">
        <v>21</v>
      </c>
    </row>
    <row r="175" spans="1:15">
      <c r="A175" t="s">
        <v>195</v>
      </c>
      <c r="B175" t="s">
        <v>23</v>
      </c>
      <c r="C175">
        <f>IF(B175="east",1,0)</f>
        <v>1</v>
      </c>
      <c r="D175" t="s">
        <v>24</v>
      </c>
      <c r="E175">
        <f>IF(D175="Guard",1,0)</f>
        <v>0</v>
      </c>
      <c r="F175">
        <f>IF(D175="Forward",1,0)</f>
        <v>1</v>
      </c>
      <c r="G175">
        <v>27</v>
      </c>
      <c r="H175">
        <v>24</v>
      </c>
      <c r="I175">
        <v>17.7</v>
      </c>
      <c r="J175">
        <v>4.4000000000000004</v>
      </c>
      <c r="K175">
        <v>2.2999999999999998</v>
      </c>
      <c r="L175">
        <v>11.6</v>
      </c>
      <c r="M175" s="1">
        <v>14000000</v>
      </c>
      <c r="N175" s="2">
        <f>IF(O175="US",1,0)</f>
        <v>1</v>
      </c>
      <c r="O175" t="s">
        <v>21</v>
      </c>
    </row>
    <row r="176" spans="1:15">
      <c r="A176" t="s">
        <v>196</v>
      </c>
      <c r="B176" t="s">
        <v>23</v>
      </c>
      <c r="C176">
        <f>IF(B176="east",1,0)</f>
        <v>1</v>
      </c>
      <c r="D176" t="s">
        <v>24</v>
      </c>
      <c r="E176">
        <f>IF(D176="Guard",1,0)</f>
        <v>0</v>
      </c>
      <c r="F176">
        <f>IF(D176="Forward",1,0)</f>
        <v>1</v>
      </c>
      <c r="G176">
        <v>22</v>
      </c>
      <c r="H176">
        <v>76</v>
      </c>
      <c r="I176">
        <v>25.7</v>
      </c>
      <c r="J176">
        <v>5.0999999999999996</v>
      </c>
      <c r="K176">
        <v>2.5</v>
      </c>
      <c r="L176">
        <v>11.6</v>
      </c>
      <c r="M176" s="1">
        <v>6665520</v>
      </c>
      <c r="N176" s="2">
        <f>IF(O176="US",1,0)</f>
        <v>1</v>
      </c>
      <c r="O176" t="s">
        <v>21</v>
      </c>
    </row>
    <row r="177" spans="1:15">
      <c r="A177" t="s">
        <v>197</v>
      </c>
      <c r="B177" t="s">
        <v>16</v>
      </c>
      <c r="C177">
        <f>IF(B177="east",1,0)</f>
        <v>0</v>
      </c>
      <c r="D177" t="s">
        <v>24</v>
      </c>
      <c r="E177">
        <f>IF(D177="Guard",1,0)</f>
        <v>0</v>
      </c>
      <c r="F177">
        <f>IF(D177="Forward",1,0)</f>
        <v>1</v>
      </c>
      <c r="G177">
        <v>27</v>
      </c>
      <c r="H177">
        <v>68</v>
      </c>
      <c r="I177">
        <v>28.3</v>
      </c>
      <c r="J177">
        <v>3.3</v>
      </c>
      <c r="K177">
        <v>0.8</v>
      </c>
      <c r="L177">
        <v>11.5</v>
      </c>
      <c r="M177" s="1">
        <v>18259259</v>
      </c>
      <c r="N177" s="2">
        <f>IF(O177="US",1,0)</f>
        <v>0</v>
      </c>
      <c r="O177" t="s">
        <v>18</v>
      </c>
    </row>
    <row r="178" spans="1:15">
      <c r="A178" t="s">
        <v>198</v>
      </c>
      <c r="B178" t="s">
        <v>16</v>
      </c>
      <c r="C178">
        <f>IF(B178="east",1,0)</f>
        <v>0</v>
      </c>
      <c r="D178" t="s">
        <v>29</v>
      </c>
      <c r="E178">
        <f>IF(D178="Guard",1,0)</f>
        <v>0</v>
      </c>
      <c r="F178">
        <f>IF(D178="Forward",1,0)</f>
        <v>0</v>
      </c>
      <c r="G178">
        <v>22</v>
      </c>
      <c r="H178">
        <v>77</v>
      </c>
      <c r="I178">
        <v>23.4</v>
      </c>
      <c r="J178">
        <v>7.2</v>
      </c>
      <c r="K178">
        <v>2.6</v>
      </c>
      <c r="L178">
        <v>11.4</v>
      </c>
      <c r="M178" s="1">
        <v>3000000</v>
      </c>
      <c r="N178" s="2">
        <f>IF(O178="US",1,0)</f>
        <v>1</v>
      </c>
      <c r="O178" t="s">
        <v>21</v>
      </c>
    </row>
    <row r="179" spans="1:15">
      <c r="A179" t="s">
        <v>199</v>
      </c>
      <c r="B179" t="s">
        <v>16</v>
      </c>
      <c r="C179">
        <f>IF(B179="east",1,0)</f>
        <v>0</v>
      </c>
      <c r="D179" t="s">
        <v>17</v>
      </c>
      <c r="E179">
        <f>IF(D179="Guard",1,0)</f>
        <v>1</v>
      </c>
      <c r="F179">
        <f>IF(D179="Forward",1,0)</f>
        <v>0</v>
      </c>
      <c r="G179">
        <v>25</v>
      </c>
      <c r="H179">
        <v>10</v>
      </c>
      <c r="I179">
        <v>21.2</v>
      </c>
      <c r="J179">
        <v>2.2000000000000002</v>
      </c>
      <c r="K179">
        <v>4.7</v>
      </c>
      <c r="L179">
        <v>11.4</v>
      </c>
      <c r="M179" s="1">
        <v>2270735</v>
      </c>
      <c r="N179" s="2">
        <f>IF(O179="US",1,0)</f>
        <v>1</v>
      </c>
      <c r="O179" t="s">
        <v>21</v>
      </c>
    </row>
    <row r="180" spans="1:15">
      <c r="A180" t="s">
        <v>200</v>
      </c>
      <c r="B180" t="s">
        <v>23</v>
      </c>
      <c r="C180">
        <f>IF(B180="east",1,0)</f>
        <v>1</v>
      </c>
      <c r="D180" t="s">
        <v>17</v>
      </c>
      <c r="E180">
        <f>IF(D180="Guard",1,0)</f>
        <v>1</v>
      </c>
      <c r="F180">
        <f>IF(D180="Forward",1,0)</f>
        <v>0</v>
      </c>
      <c r="G180">
        <v>24</v>
      </c>
      <c r="H180">
        <v>70</v>
      </c>
      <c r="I180">
        <v>26.4</v>
      </c>
      <c r="J180">
        <v>3.5</v>
      </c>
      <c r="K180">
        <v>3.4</v>
      </c>
      <c r="L180">
        <v>11.4</v>
      </c>
      <c r="M180" s="1">
        <v>1955377</v>
      </c>
      <c r="N180" s="2">
        <f>IF(O180="US",1,0)</f>
        <v>0</v>
      </c>
      <c r="O180" t="s">
        <v>18</v>
      </c>
    </row>
    <row r="181" spans="1:15">
      <c r="A181" t="s">
        <v>201</v>
      </c>
      <c r="B181" t="s">
        <v>23</v>
      </c>
      <c r="C181">
        <f>IF(B181="east",1,0)</f>
        <v>1</v>
      </c>
      <c r="D181" t="s">
        <v>24</v>
      </c>
      <c r="E181">
        <f>IF(D181="Guard",1,0)</f>
        <v>0</v>
      </c>
      <c r="F181">
        <f>IF(D181="Forward",1,0)</f>
        <v>1</v>
      </c>
      <c r="G181">
        <v>29</v>
      </c>
      <c r="H181">
        <v>12</v>
      </c>
      <c r="I181">
        <v>24</v>
      </c>
      <c r="J181">
        <v>5.4</v>
      </c>
      <c r="K181">
        <v>2</v>
      </c>
      <c r="L181">
        <v>11.2</v>
      </c>
      <c r="M181" s="1">
        <v>15936452</v>
      </c>
      <c r="N181" s="2">
        <f>IF(O181="US",1,0)</f>
        <v>1</v>
      </c>
      <c r="O181" t="s">
        <v>21</v>
      </c>
    </row>
    <row r="182" spans="1:15">
      <c r="A182" t="s">
        <v>202</v>
      </c>
      <c r="B182" t="s">
        <v>23</v>
      </c>
      <c r="C182">
        <f>IF(B182="east",1,0)</f>
        <v>1</v>
      </c>
      <c r="D182" t="s">
        <v>29</v>
      </c>
      <c r="E182">
        <f>IF(D182="Guard",1,0)</f>
        <v>0</v>
      </c>
      <c r="F182">
        <f>IF(D182="Forward",1,0)</f>
        <v>0</v>
      </c>
      <c r="G182">
        <v>26</v>
      </c>
      <c r="H182">
        <v>80</v>
      </c>
      <c r="I182">
        <v>21.9</v>
      </c>
      <c r="J182">
        <v>4.9000000000000004</v>
      </c>
      <c r="K182">
        <v>1.9</v>
      </c>
      <c r="L182">
        <v>11.2</v>
      </c>
      <c r="M182" s="1">
        <v>2461463</v>
      </c>
      <c r="N182" s="2">
        <f>IF(O182="US",1,0)</f>
        <v>0</v>
      </c>
      <c r="O182" t="s">
        <v>18</v>
      </c>
    </row>
    <row r="183" spans="1:15">
      <c r="A183" t="s">
        <v>203</v>
      </c>
      <c r="B183" t="s">
        <v>16</v>
      </c>
      <c r="C183">
        <f>IF(B183="east",1,0)</f>
        <v>0</v>
      </c>
      <c r="D183" t="s">
        <v>17</v>
      </c>
      <c r="E183">
        <f>IF(D183="Guard",1,0)</f>
        <v>1</v>
      </c>
      <c r="F183">
        <f>IF(D183="Forward",1,0)</f>
        <v>0</v>
      </c>
      <c r="G183">
        <v>26</v>
      </c>
      <c r="H183">
        <v>71</v>
      </c>
      <c r="I183">
        <v>21.2</v>
      </c>
      <c r="J183">
        <v>2.5</v>
      </c>
      <c r="K183">
        <v>1.3</v>
      </c>
      <c r="L183">
        <v>11.1</v>
      </c>
      <c r="M183" s="1">
        <v>12362338</v>
      </c>
      <c r="N183" s="2">
        <f>IF(O183="US",1,0)</f>
        <v>1</v>
      </c>
      <c r="O183" t="s">
        <v>21</v>
      </c>
    </row>
    <row r="184" spans="1:15">
      <c r="A184" t="s">
        <v>204</v>
      </c>
      <c r="B184" t="s">
        <v>23</v>
      </c>
      <c r="C184">
        <f>IF(B184="east",1,0)</f>
        <v>1</v>
      </c>
      <c r="D184" t="s">
        <v>29</v>
      </c>
      <c r="E184">
        <f>IF(D184="Guard",1,0)</f>
        <v>0</v>
      </c>
      <c r="F184">
        <f>IF(D184="Forward",1,0)</f>
        <v>0</v>
      </c>
      <c r="G184">
        <v>21</v>
      </c>
      <c r="H184">
        <v>77</v>
      </c>
      <c r="I184">
        <v>22.1</v>
      </c>
      <c r="J184">
        <v>9</v>
      </c>
      <c r="K184">
        <v>0.7</v>
      </c>
      <c r="L184">
        <v>11.1</v>
      </c>
      <c r="M184" s="1">
        <v>4443360</v>
      </c>
      <c r="N184" s="2">
        <f>IF(O184="US",1,0)</f>
        <v>1</v>
      </c>
      <c r="O184" t="s">
        <v>21</v>
      </c>
    </row>
    <row r="185" spans="1:15">
      <c r="A185" t="s">
        <v>205</v>
      </c>
      <c r="B185" t="s">
        <v>16</v>
      </c>
      <c r="C185">
        <f>IF(B185="east",1,0)</f>
        <v>0</v>
      </c>
      <c r="D185" t="s">
        <v>24</v>
      </c>
      <c r="E185">
        <f>IF(D185="Guard",1,0)</f>
        <v>0</v>
      </c>
      <c r="F185">
        <f>IF(D185="Forward",1,0)</f>
        <v>1</v>
      </c>
      <c r="G185">
        <v>24</v>
      </c>
      <c r="H185">
        <v>82</v>
      </c>
      <c r="I185">
        <v>27.6</v>
      </c>
      <c r="J185">
        <v>5.8</v>
      </c>
      <c r="K185">
        <v>1.5</v>
      </c>
      <c r="L185">
        <v>11.1</v>
      </c>
      <c r="M185" s="1">
        <v>3000000</v>
      </c>
      <c r="N185" s="2">
        <f>IF(O185="US",1,0)</f>
        <v>1</v>
      </c>
      <c r="O185" t="s">
        <v>21</v>
      </c>
    </row>
    <row r="186" spans="1:15">
      <c r="A186" t="s">
        <v>206</v>
      </c>
      <c r="B186" t="s">
        <v>16</v>
      </c>
      <c r="C186">
        <f>IF(B186="east",1,0)</f>
        <v>0</v>
      </c>
      <c r="D186" t="s">
        <v>17</v>
      </c>
      <c r="E186">
        <f>IF(D186="Guard",1,0)</f>
        <v>1</v>
      </c>
      <c r="F186">
        <f>IF(D186="Forward",1,0)</f>
        <v>0</v>
      </c>
      <c r="G186">
        <v>25</v>
      </c>
      <c r="H186">
        <v>72</v>
      </c>
      <c r="I186">
        <v>23.8</v>
      </c>
      <c r="J186">
        <v>2.5</v>
      </c>
      <c r="K186">
        <v>5.6</v>
      </c>
      <c r="L186">
        <v>11.1</v>
      </c>
      <c r="M186" s="1">
        <v>2537989</v>
      </c>
      <c r="N186" s="2">
        <f>IF(O186="US",1,0)</f>
        <v>1</v>
      </c>
      <c r="O186" t="s">
        <v>21</v>
      </c>
    </row>
    <row r="187" spans="1:15">
      <c r="A187" t="s">
        <v>207</v>
      </c>
      <c r="B187" t="s">
        <v>23</v>
      </c>
      <c r="C187">
        <f>IF(B187="east",1,0)</f>
        <v>1</v>
      </c>
      <c r="D187" t="s">
        <v>17</v>
      </c>
      <c r="E187">
        <f>IF(D187="Guard",1,0)</f>
        <v>1</v>
      </c>
      <c r="F187">
        <f>IF(D187="Forward",1,0)</f>
        <v>0</v>
      </c>
      <c r="G187">
        <v>26</v>
      </c>
      <c r="H187">
        <v>4</v>
      </c>
      <c r="I187">
        <v>25.3</v>
      </c>
      <c r="J187">
        <v>6.3</v>
      </c>
      <c r="K187">
        <v>3</v>
      </c>
      <c r="L187">
        <v>11</v>
      </c>
      <c r="M187" s="1">
        <v>136717</v>
      </c>
      <c r="N187" s="2">
        <f>IF(O187="US",1,0)</f>
        <v>1</v>
      </c>
      <c r="O187" t="s">
        <v>21</v>
      </c>
    </row>
    <row r="188" spans="1:15">
      <c r="A188" t="s">
        <v>208</v>
      </c>
      <c r="B188" t="s">
        <v>16</v>
      </c>
      <c r="C188">
        <f>IF(B188="east",1,0)</f>
        <v>0</v>
      </c>
      <c r="D188" t="s">
        <v>29</v>
      </c>
      <c r="E188">
        <f>IF(D188="Guard",1,0)</f>
        <v>0</v>
      </c>
      <c r="F188">
        <f>IF(D188="Forward",1,0)</f>
        <v>0</v>
      </c>
      <c r="G188">
        <v>33</v>
      </c>
      <c r="H188">
        <v>76</v>
      </c>
      <c r="I188">
        <v>31.3</v>
      </c>
      <c r="J188">
        <v>11.5</v>
      </c>
      <c r="K188">
        <v>1.7</v>
      </c>
      <c r="L188">
        <v>10.9</v>
      </c>
      <c r="M188" s="1">
        <v>35000000</v>
      </c>
      <c r="N188" s="2">
        <f>IF(O188="US",1,0)</f>
        <v>0</v>
      </c>
      <c r="O188" t="s">
        <v>18</v>
      </c>
    </row>
    <row r="189" spans="1:15">
      <c r="A189" t="s">
        <v>209</v>
      </c>
      <c r="B189" t="s">
        <v>16</v>
      </c>
      <c r="C189">
        <f>IF(B189="east",1,0)</f>
        <v>0</v>
      </c>
      <c r="D189" t="s">
        <v>29</v>
      </c>
      <c r="E189">
        <f>IF(D189="Guard",1,0)</f>
        <v>0</v>
      </c>
      <c r="F189">
        <f>IF(D189="Forward",1,0)</f>
        <v>0</v>
      </c>
      <c r="G189">
        <v>31</v>
      </c>
      <c r="H189">
        <v>41</v>
      </c>
      <c r="I189">
        <v>26.4</v>
      </c>
      <c r="J189">
        <v>10.4</v>
      </c>
      <c r="K189">
        <v>4.8</v>
      </c>
      <c r="L189">
        <v>10.9</v>
      </c>
      <c r="M189" s="1">
        <v>19375000</v>
      </c>
      <c r="N189" s="2">
        <f>IF(O189="US",1,0)</f>
        <v>0</v>
      </c>
      <c r="O189" t="s">
        <v>18</v>
      </c>
    </row>
    <row r="190" spans="1:15">
      <c r="A190" t="s">
        <v>210</v>
      </c>
      <c r="B190" t="s">
        <v>23</v>
      </c>
      <c r="C190">
        <f>IF(B190="east",1,0)</f>
        <v>1</v>
      </c>
      <c r="D190" t="s">
        <v>17</v>
      </c>
      <c r="E190">
        <f>IF(D190="Guard",1,0)</f>
        <v>1</v>
      </c>
      <c r="F190">
        <f>IF(D190="Forward",1,0)</f>
        <v>0</v>
      </c>
      <c r="G190">
        <v>32</v>
      </c>
      <c r="H190">
        <v>70</v>
      </c>
      <c r="I190">
        <v>24.2</v>
      </c>
      <c r="J190">
        <v>2.7</v>
      </c>
      <c r="K190">
        <v>4.9000000000000004</v>
      </c>
      <c r="L190">
        <v>10.8</v>
      </c>
      <c r="M190" s="1">
        <v>14104000</v>
      </c>
      <c r="N190" s="2">
        <f>IF(O190="US",1,0)</f>
        <v>0</v>
      </c>
      <c r="O190" t="s">
        <v>18</v>
      </c>
    </row>
    <row r="191" spans="1:15">
      <c r="A191" t="s">
        <v>211</v>
      </c>
      <c r="B191" t="s">
        <v>16</v>
      </c>
      <c r="C191">
        <f>IF(B191="east",1,0)</f>
        <v>0</v>
      </c>
      <c r="D191" t="s">
        <v>17</v>
      </c>
      <c r="E191">
        <f>IF(D191="Guard",1,0)</f>
        <v>1</v>
      </c>
      <c r="F191">
        <f>IF(D191="Forward",1,0)</f>
        <v>0</v>
      </c>
      <c r="G191">
        <v>27</v>
      </c>
      <c r="H191">
        <v>32</v>
      </c>
      <c r="I191">
        <v>26.4</v>
      </c>
      <c r="J191">
        <v>3</v>
      </c>
      <c r="K191">
        <v>1.3</v>
      </c>
      <c r="L191">
        <v>10.8</v>
      </c>
      <c r="M191" s="1">
        <v>75000</v>
      </c>
      <c r="N191" s="2">
        <f>IF(O191="US",1,0)</f>
        <v>1</v>
      </c>
      <c r="O191" t="s">
        <v>21</v>
      </c>
    </row>
    <row r="192" spans="1:15">
      <c r="A192" t="s">
        <v>212</v>
      </c>
      <c r="B192" t="s">
        <v>16</v>
      </c>
      <c r="C192">
        <f>IF(B192="east",1,0)</f>
        <v>0</v>
      </c>
      <c r="D192" t="s">
        <v>24</v>
      </c>
      <c r="E192">
        <f>IF(D192="Guard",1,0)</f>
        <v>0</v>
      </c>
      <c r="F192">
        <f>IF(D192="Forward",1,0)</f>
        <v>1</v>
      </c>
      <c r="G192">
        <v>25</v>
      </c>
      <c r="H192">
        <v>12</v>
      </c>
      <c r="I192">
        <v>25.6</v>
      </c>
      <c r="J192">
        <v>4.2</v>
      </c>
      <c r="K192">
        <v>1</v>
      </c>
      <c r="L192">
        <v>10.8</v>
      </c>
      <c r="M192" s="1">
        <v>73153</v>
      </c>
      <c r="N192" s="2">
        <f>IF(O192="US",1,0)</f>
        <v>1</v>
      </c>
      <c r="O192" t="s">
        <v>21</v>
      </c>
    </row>
    <row r="193" spans="1:15">
      <c r="A193" t="s">
        <v>213</v>
      </c>
      <c r="B193" t="s">
        <v>23</v>
      </c>
      <c r="C193">
        <f>IF(B193="east",1,0)</f>
        <v>1</v>
      </c>
      <c r="D193" t="s">
        <v>29</v>
      </c>
      <c r="E193">
        <f>IF(D193="Guard",1,0)</f>
        <v>0</v>
      </c>
      <c r="F193">
        <f>IF(D193="Forward",1,0)</f>
        <v>0</v>
      </c>
      <c r="G193">
        <v>30</v>
      </c>
      <c r="H193">
        <v>46</v>
      </c>
      <c r="I193">
        <v>25</v>
      </c>
      <c r="J193">
        <v>7</v>
      </c>
      <c r="K193">
        <v>2</v>
      </c>
      <c r="L193">
        <v>10.7</v>
      </c>
      <c r="M193" s="1">
        <v>19500000</v>
      </c>
      <c r="N193" s="2">
        <f>IF(O193="US",1,0)</f>
        <v>0</v>
      </c>
      <c r="O193" t="s">
        <v>18</v>
      </c>
    </row>
    <row r="194" spans="1:15">
      <c r="A194" t="s">
        <v>214</v>
      </c>
      <c r="B194" t="s">
        <v>23</v>
      </c>
      <c r="C194">
        <f>IF(B194="east",1,0)</f>
        <v>1</v>
      </c>
      <c r="D194" t="s">
        <v>17</v>
      </c>
      <c r="E194">
        <f>IF(D194="Guard",1,0)</f>
        <v>1</v>
      </c>
      <c r="F194">
        <f>IF(D194="Forward",1,0)</f>
        <v>0</v>
      </c>
      <c r="G194">
        <v>20</v>
      </c>
      <c r="H194">
        <v>82</v>
      </c>
      <c r="I194">
        <v>27.7</v>
      </c>
      <c r="J194">
        <v>3.4</v>
      </c>
      <c r="K194">
        <v>4.5999999999999996</v>
      </c>
      <c r="L194">
        <v>10.7</v>
      </c>
      <c r="M194" s="1">
        <v>4677600</v>
      </c>
      <c r="N194" s="2">
        <f>IF(O194="US",1,0)</f>
        <v>1</v>
      </c>
      <c r="O194" t="s">
        <v>21</v>
      </c>
    </row>
    <row r="195" spans="1:15">
      <c r="A195" t="s">
        <v>215</v>
      </c>
      <c r="B195" t="s">
        <v>23</v>
      </c>
      <c r="C195">
        <f>IF(B195="east",1,0)</f>
        <v>1</v>
      </c>
      <c r="D195" t="s">
        <v>29</v>
      </c>
      <c r="E195">
        <f>IF(D195="Guard",1,0)</f>
        <v>0</v>
      </c>
      <c r="F195">
        <f>IF(D195="Forward",1,0)</f>
        <v>0</v>
      </c>
      <c r="G195">
        <v>30</v>
      </c>
      <c r="H195">
        <v>68</v>
      </c>
      <c r="I195">
        <v>22.1</v>
      </c>
      <c r="J195">
        <v>5.7</v>
      </c>
      <c r="K195">
        <v>1.7</v>
      </c>
      <c r="L195">
        <v>10.6</v>
      </c>
      <c r="M195" s="1">
        <v>2461463</v>
      </c>
      <c r="N195" s="2">
        <f>IF(O195="US",1,0)</f>
        <v>0</v>
      </c>
      <c r="O195" t="s">
        <v>18</v>
      </c>
    </row>
    <row r="196" spans="1:15">
      <c r="A196" t="s">
        <v>216</v>
      </c>
      <c r="B196" t="s">
        <v>16</v>
      </c>
      <c r="C196">
        <f>IF(B196="east",1,0)</f>
        <v>0</v>
      </c>
      <c r="D196" t="s">
        <v>24</v>
      </c>
      <c r="E196">
        <f>IF(D196="Guard",1,0)</f>
        <v>0</v>
      </c>
      <c r="F196">
        <f>IF(D196="Forward",1,0)</f>
        <v>1</v>
      </c>
      <c r="G196">
        <v>24</v>
      </c>
      <c r="H196">
        <v>60</v>
      </c>
      <c r="I196">
        <v>25.8</v>
      </c>
      <c r="J196">
        <v>6.3</v>
      </c>
      <c r="K196">
        <v>1.5</v>
      </c>
      <c r="L196">
        <v>10.5</v>
      </c>
      <c r="M196" s="1">
        <v>5675766</v>
      </c>
      <c r="N196" s="2">
        <f>IF(O196="US",1,0)</f>
        <v>1</v>
      </c>
      <c r="O196" t="s">
        <v>21</v>
      </c>
    </row>
    <row r="197" spans="1:15">
      <c r="A197" t="s">
        <v>217</v>
      </c>
      <c r="B197" t="s">
        <v>16</v>
      </c>
      <c r="C197">
        <f>IF(B197="east",1,0)</f>
        <v>0</v>
      </c>
      <c r="D197" t="s">
        <v>24</v>
      </c>
      <c r="E197">
        <f>IF(D197="Guard",1,0)</f>
        <v>0</v>
      </c>
      <c r="F197">
        <f>IF(D197="Forward",1,0)</f>
        <v>1</v>
      </c>
      <c r="G197">
        <v>26</v>
      </c>
      <c r="H197">
        <v>60</v>
      </c>
      <c r="I197">
        <v>20</v>
      </c>
      <c r="J197">
        <v>6.1</v>
      </c>
      <c r="K197">
        <v>1.4</v>
      </c>
      <c r="L197">
        <v>10.5</v>
      </c>
      <c r="M197" s="1">
        <v>3080921</v>
      </c>
      <c r="N197" s="2">
        <f>IF(O197="US",1,0)</f>
        <v>1</v>
      </c>
      <c r="O197" t="s">
        <v>21</v>
      </c>
    </row>
    <row r="198" spans="1:15">
      <c r="A198" t="s">
        <v>218</v>
      </c>
      <c r="B198" t="s">
        <v>23</v>
      </c>
      <c r="C198">
        <f>IF(B198="east",1,0)</f>
        <v>1</v>
      </c>
      <c r="D198" t="s">
        <v>17</v>
      </c>
      <c r="E198">
        <f>IF(D198="Guard",1,0)</f>
        <v>1</v>
      </c>
      <c r="F198">
        <f>IF(D198="Forward",1,0)</f>
        <v>0</v>
      </c>
      <c r="G198">
        <v>26</v>
      </c>
      <c r="H198">
        <v>78</v>
      </c>
      <c r="I198">
        <v>29.1</v>
      </c>
      <c r="J198">
        <v>2.7</v>
      </c>
      <c r="K198">
        <v>1.9</v>
      </c>
      <c r="L198">
        <v>10.4</v>
      </c>
      <c r="M198" s="1">
        <v>2301587</v>
      </c>
      <c r="N198" s="2">
        <f>IF(O198="US",1,0)</f>
        <v>1</v>
      </c>
      <c r="O198" t="s">
        <v>21</v>
      </c>
    </row>
    <row r="199" spans="1:15">
      <c r="A199" t="s">
        <v>219</v>
      </c>
      <c r="B199" t="s">
        <v>16</v>
      </c>
      <c r="C199">
        <f>IF(B199="east",1,0)</f>
        <v>0</v>
      </c>
      <c r="D199" t="s">
        <v>17</v>
      </c>
      <c r="E199">
        <f>IF(D199="Guard",1,0)</f>
        <v>1</v>
      </c>
      <c r="F199">
        <f>IF(D199="Forward",1,0)</f>
        <v>0</v>
      </c>
      <c r="G199">
        <v>22</v>
      </c>
      <c r="H199">
        <v>8</v>
      </c>
      <c r="I199">
        <v>30.1</v>
      </c>
      <c r="J199">
        <v>3.1</v>
      </c>
      <c r="K199">
        <v>2.4</v>
      </c>
      <c r="L199">
        <v>10.4</v>
      </c>
      <c r="M199" s="1">
        <v>636435</v>
      </c>
      <c r="N199" s="2">
        <f>IF(O199="US",1,0)</f>
        <v>0</v>
      </c>
      <c r="O199" t="s">
        <v>18</v>
      </c>
    </row>
    <row r="200" spans="1:15">
      <c r="A200" t="s">
        <v>220</v>
      </c>
      <c r="B200" t="s">
        <v>16</v>
      </c>
      <c r="C200">
        <f>IF(B200="east",1,0)</f>
        <v>0</v>
      </c>
      <c r="D200" t="s">
        <v>17</v>
      </c>
      <c r="E200">
        <f>IF(D200="Guard",1,0)</f>
        <v>1</v>
      </c>
      <c r="F200">
        <f>IF(D200="Forward",1,0)</f>
        <v>0</v>
      </c>
      <c r="G200">
        <v>24</v>
      </c>
      <c r="H200">
        <v>49</v>
      </c>
      <c r="I200">
        <v>20.7</v>
      </c>
      <c r="J200">
        <v>2.2999999999999998</v>
      </c>
      <c r="K200">
        <v>2.5</v>
      </c>
      <c r="L200">
        <v>10.4</v>
      </c>
      <c r="M200" s="1">
        <v>85300</v>
      </c>
      <c r="N200" s="2">
        <f>IF(O200="US",1,0)</f>
        <v>1</v>
      </c>
      <c r="O200" t="s">
        <v>21</v>
      </c>
    </row>
    <row r="201" spans="1:15">
      <c r="A201" t="s">
        <v>221</v>
      </c>
      <c r="B201" t="s">
        <v>16</v>
      </c>
      <c r="C201">
        <f>IF(B201="east",1,0)</f>
        <v>0</v>
      </c>
      <c r="D201" t="s">
        <v>17</v>
      </c>
      <c r="E201">
        <f>IF(D201="Guard",1,0)</f>
        <v>1</v>
      </c>
      <c r="F201">
        <f>IF(D201="Forward",1,0)</f>
        <v>0</v>
      </c>
      <c r="G201">
        <v>27</v>
      </c>
      <c r="H201">
        <v>7</v>
      </c>
      <c r="I201">
        <v>32</v>
      </c>
      <c r="J201">
        <v>5.4</v>
      </c>
      <c r="K201">
        <v>2.6</v>
      </c>
      <c r="L201">
        <v>10.4</v>
      </c>
      <c r="M201" s="1">
        <v>73153</v>
      </c>
      <c r="N201" s="2">
        <f>IF(O201="US",1,0)</f>
        <v>1</v>
      </c>
      <c r="O201" t="s">
        <v>21</v>
      </c>
    </row>
    <row r="202" spans="1:15">
      <c r="A202" t="s">
        <v>222</v>
      </c>
      <c r="B202" t="s">
        <v>23</v>
      </c>
      <c r="C202">
        <f>IF(B202="east",1,0)</f>
        <v>1</v>
      </c>
      <c r="D202" t="s">
        <v>17</v>
      </c>
      <c r="E202">
        <f>IF(D202="Guard",1,0)</f>
        <v>1</v>
      </c>
      <c r="F202">
        <f>IF(D202="Forward",1,0)</f>
        <v>0</v>
      </c>
      <c r="G202">
        <v>19</v>
      </c>
      <c r="H202">
        <v>52</v>
      </c>
      <c r="I202">
        <v>25.2</v>
      </c>
      <c r="J202">
        <v>3.2</v>
      </c>
      <c r="K202">
        <v>3.3</v>
      </c>
      <c r="L202">
        <v>10.3</v>
      </c>
      <c r="M202" s="1">
        <v>6889200</v>
      </c>
      <c r="N202" s="2">
        <f>IF(O202="US",1,0)</f>
        <v>0</v>
      </c>
      <c r="O202" t="s">
        <v>18</v>
      </c>
    </row>
    <row r="203" spans="1:15">
      <c r="A203" t="s">
        <v>223</v>
      </c>
      <c r="B203" t="s">
        <v>23</v>
      </c>
      <c r="C203">
        <f>IF(B203="east",1,0)</f>
        <v>1</v>
      </c>
      <c r="D203" t="s">
        <v>24</v>
      </c>
      <c r="E203">
        <f>IF(D203="Guard",1,0)</f>
        <v>0</v>
      </c>
      <c r="F203">
        <f>IF(D203="Forward",1,0)</f>
        <v>1</v>
      </c>
      <c r="G203">
        <v>19</v>
      </c>
      <c r="H203">
        <v>74</v>
      </c>
      <c r="I203">
        <v>22.1</v>
      </c>
      <c r="J203">
        <v>2.9</v>
      </c>
      <c r="K203">
        <v>2</v>
      </c>
      <c r="L203">
        <v>10.3</v>
      </c>
      <c r="M203" s="1">
        <v>3512520</v>
      </c>
      <c r="N203" s="2">
        <f>IF(O203="US",1,0)</f>
        <v>0</v>
      </c>
      <c r="O203" t="s">
        <v>18</v>
      </c>
    </row>
    <row r="204" spans="1:15">
      <c r="A204" t="s">
        <v>224</v>
      </c>
      <c r="B204" t="s">
        <v>16</v>
      </c>
      <c r="C204">
        <f>IF(B204="east",1,0)</f>
        <v>0</v>
      </c>
      <c r="D204" t="s">
        <v>17</v>
      </c>
      <c r="E204">
        <f>IF(D204="Guard",1,0)</f>
        <v>1</v>
      </c>
      <c r="F204">
        <f>IF(D204="Forward",1,0)</f>
        <v>0</v>
      </c>
      <c r="G204">
        <v>28</v>
      </c>
      <c r="H204">
        <v>3</v>
      </c>
      <c r="I204">
        <v>20</v>
      </c>
      <c r="J204">
        <v>1.7</v>
      </c>
      <c r="K204">
        <v>0.3</v>
      </c>
      <c r="L204">
        <v>10.3</v>
      </c>
      <c r="M204" s="1">
        <v>165197</v>
      </c>
      <c r="N204" s="2">
        <f>IF(O204="US",1,0)</f>
        <v>1</v>
      </c>
      <c r="O204" t="s">
        <v>21</v>
      </c>
    </row>
    <row r="205" spans="1:15">
      <c r="A205" t="s">
        <v>225</v>
      </c>
      <c r="B205" t="s">
        <v>16</v>
      </c>
      <c r="C205">
        <f>IF(B205="east",1,0)</f>
        <v>0</v>
      </c>
      <c r="D205" t="s">
        <v>24</v>
      </c>
      <c r="E205">
        <f>IF(D205="Guard",1,0)</f>
        <v>0</v>
      </c>
      <c r="F205">
        <f>IF(D205="Forward",1,0)</f>
        <v>1</v>
      </c>
      <c r="G205">
        <v>34</v>
      </c>
      <c r="H205">
        <v>63</v>
      </c>
      <c r="I205">
        <v>22.8</v>
      </c>
      <c r="J205">
        <v>3.7</v>
      </c>
      <c r="K205">
        <v>2.8</v>
      </c>
      <c r="L205">
        <v>10.199999999999999</v>
      </c>
      <c r="M205" s="1">
        <v>33296296</v>
      </c>
      <c r="N205" s="2">
        <f>IF(O205="US",1,0)</f>
        <v>1</v>
      </c>
      <c r="O205" t="s">
        <v>21</v>
      </c>
    </row>
    <row r="206" spans="1:15">
      <c r="A206" t="s">
        <v>226</v>
      </c>
      <c r="B206" t="s">
        <v>23</v>
      </c>
      <c r="C206">
        <f>IF(B206="east",1,0)</f>
        <v>1</v>
      </c>
      <c r="D206" t="s">
        <v>29</v>
      </c>
      <c r="E206">
        <f>IF(D206="Guard",1,0)</f>
        <v>0</v>
      </c>
      <c r="F206">
        <f>IF(D206="Forward",1,0)</f>
        <v>0</v>
      </c>
      <c r="G206">
        <v>25</v>
      </c>
      <c r="H206">
        <v>53</v>
      </c>
      <c r="I206">
        <v>20.7</v>
      </c>
      <c r="J206">
        <v>6.7</v>
      </c>
      <c r="K206">
        <v>1.2</v>
      </c>
      <c r="L206">
        <v>10.199999999999999</v>
      </c>
      <c r="M206" s="1">
        <v>9000000</v>
      </c>
      <c r="N206" s="2">
        <f>IF(O206="US",1,0)</f>
        <v>1</v>
      </c>
      <c r="O206" t="s">
        <v>21</v>
      </c>
    </row>
    <row r="207" spans="1:15">
      <c r="A207" t="s">
        <v>227</v>
      </c>
      <c r="B207" t="s">
        <v>23</v>
      </c>
      <c r="C207">
        <f>IF(B207="east",1,0)</f>
        <v>1</v>
      </c>
      <c r="D207" t="s">
        <v>24</v>
      </c>
      <c r="E207">
        <f>IF(D207="Guard",1,0)</f>
        <v>0</v>
      </c>
      <c r="F207">
        <f>IF(D207="Forward",1,0)</f>
        <v>1</v>
      </c>
      <c r="G207">
        <v>24</v>
      </c>
      <c r="H207">
        <v>56</v>
      </c>
      <c r="I207">
        <v>22.9</v>
      </c>
      <c r="J207">
        <v>2.4</v>
      </c>
      <c r="K207">
        <v>1.1000000000000001</v>
      </c>
      <c r="L207">
        <v>10.199999999999999</v>
      </c>
      <c r="M207" s="1">
        <v>6250000</v>
      </c>
      <c r="N207" s="2">
        <f>IF(O207="US",1,0)</f>
        <v>1</v>
      </c>
      <c r="O207" t="s">
        <v>21</v>
      </c>
    </row>
    <row r="208" spans="1:15">
      <c r="A208" t="s">
        <v>228</v>
      </c>
      <c r="B208" t="s">
        <v>23</v>
      </c>
      <c r="C208">
        <f>IF(B208="east",1,0)</f>
        <v>1</v>
      </c>
      <c r="D208" t="s">
        <v>17</v>
      </c>
      <c r="E208">
        <f>IF(D208="Guard",1,0)</f>
        <v>1</v>
      </c>
      <c r="F208">
        <f>IF(D208="Forward",1,0)</f>
        <v>0</v>
      </c>
      <c r="G208">
        <v>29</v>
      </c>
      <c r="H208">
        <v>26</v>
      </c>
      <c r="I208">
        <v>19</v>
      </c>
      <c r="J208">
        <v>2.2999999999999998</v>
      </c>
      <c r="K208">
        <v>4</v>
      </c>
      <c r="L208">
        <v>10.199999999999999</v>
      </c>
      <c r="M208" s="1">
        <v>5685000</v>
      </c>
      <c r="N208" s="2">
        <f>IF(O208="US",1,0)</f>
        <v>1</v>
      </c>
      <c r="O208" t="s">
        <v>21</v>
      </c>
    </row>
    <row r="209" spans="1:15">
      <c r="A209" t="s">
        <v>229</v>
      </c>
      <c r="B209" t="s">
        <v>23</v>
      </c>
      <c r="C209">
        <f>IF(B209="east",1,0)</f>
        <v>1</v>
      </c>
      <c r="D209" t="s">
        <v>29</v>
      </c>
      <c r="E209">
        <f>IF(D209="Guard",1,0)</f>
        <v>0</v>
      </c>
      <c r="F209">
        <f>IF(D209="Forward",1,0)</f>
        <v>0</v>
      </c>
      <c r="G209">
        <v>26</v>
      </c>
      <c r="H209">
        <v>76</v>
      </c>
      <c r="I209">
        <v>25.3</v>
      </c>
      <c r="J209">
        <v>8.4</v>
      </c>
      <c r="K209">
        <v>1.7</v>
      </c>
      <c r="L209">
        <v>10.199999999999999</v>
      </c>
      <c r="M209" s="1">
        <v>2349578</v>
      </c>
      <c r="N209" s="2">
        <f>IF(O209="US",1,0)</f>
        <v>0</v>
      </c>
      <c r="O209" t="s">
        <v>18</v>
      </c>
    </row>
    <row r="210" spans="1:15">
      <c r="A210" t="s">
        <v>230</v>
      </c>
      <c r="B210" t="s">
        <v>16</v>
      </c>
      <c r="C210">
        <f>IF(B210="east",1,0)</f>
        <v>0</v>
      </c>
      <c r="D210" t="s">
        <v>24</v>
      </c>
      <c r="E210">
        <f>IF(D210="Guard",1,0)</f>
        <v>0</v>
      </c>
      <c r="F210">
        <f>IF(D210="Forward",1,0)</f>
        <v>1</v>
      </c>
      <c r="G210">
        <v>28</v>
      </c>
      <c r="H210">
        <v>50</v>
      </c>
      <c r="I210">
        <v>27</v>
      </c>
      <c r="J210">
        <v>3.5</v>
      </c>
      <c r="K210">
        <v>1.4</v>
      </c>
      <c r="L210">
        <v>10.1</v>
      </c>
      <c r="M210" s="1">
        <v>10000000</v>
      </c>
      <c r="N210" s="2">
        <f>IF(O210="US",1,0)</f>
        <v>1</v>
      </c>
      <c r="O210" t="s">
        <v>21</v>
      </c>
    </row>
    <row r="211" spans="1:15">
      <c r="A211" t="s">
        <v>231</v>
      </c>
      <c r="B211" t="s">
        <v>16</v>
      </c>
      <c r="C211">
        <f>IF(B211="east",1,0)</f>
        <v>0</v>
      </c>
      <c r="D211" t="s">
        <v>29</v>
      </c>
      <c r="E211">
        <f>IF(D211="Guard",1,0)</f>
        <v>0</v>
      </c>
      <c r="F211">
        <f>IF(D211="Forward",1,0)</f>
        <v>0</v>
      </c>
      <c r="G211">
        <v>26</v>
      </c>
      <c r="H211">
        <v>73</v>
      </c>
      <c r="I211">
        <v>23.9</v>
      </c>
      <c r="J211">
        <v>6.7</v>
      </c>
      <c r="K211">
        <v>1.4</v>
      </c>
      <c r="L211">
        <v>10.1</v>
      </c>
      <c r="M211" s="1">
        <v>2453285</v>
      </c>
      <c r="N211" s="2">
        <f>IF(O211="US",1,0)</f>
        <v>0</v>
      </c>
      <c r="O211" t="s">
        <v>18</v>
      </c>
    </row>
    <row r="212" spans="1:15">
      <c r="A212" t="s">
        <v>232</v>
      </c>
      <c r="B212" t="s">
        <v>23</v>
      </c>
      <c r="C212">
        <f>IF(B212="east",1,0)</f>
        <v>1</v>
      </c>
      <c r="D212" t="s">
        <v>24</v>
      </c>
      <c r="E212">
        <f>IF(D212="Guard",1,0)</f>
        <v>0</v>
      </c>
      <c r="F212">
        <f>IF(D212="Forward",1,0)</f>
        <v>1</v>
      </c>
      <c r="G212">
        <v>27</v>
      </c>
      <c r="H212">
        <v>69</v>
      </c>
      <c r="I212">
        <v>22.4</v>
      </c>
      <c r="J212">
        <v>3.5</v>
      </c>
      <c r="K212">
        <v>2.6</v>
      </c>
      <c r="L212">
        <v>10</v>
      </c>
      <c r="M212" s="1">
        <v>17991071</v>
      </c>
      <c r="N212" s="2">
        <f>IF(O212="US",1,0)</f>
        <v>1</v>
      </c>
      <c r="O212" t="s">
        <v>21</v>
      </c>
    </row>
    <row r="213" spans="1:15">
      <c r="A213" t="s">
        <v>233</v>
      </c>
      <c r="B213" t="s">
        <v>23</v>
      </c>
      <c r="C213">
        <f>IF(B213="east",1,0)</f>
        <v>1</v>
      </c>
      <c r="D213" t="s">
        <v>29</v>
      </c>
      <c r="E213">
        <f>IF(D213="Guard",1,0)</f>
        <v>0</v>
      </c>
      <c r="F213">
        <f>IF(D213="Forward",1,0)</f>
        <v>0</v>
      </c>
      <c r="G213">
        <v>24</v>
      </c>
      <c r="H213">
        <v>58</v>
      </c>
      <c r="I213">
        <v>22.7</v>
      </c>
      <c r="J213">
        <v>5</v>
      </c>
      <c r="K213">
        <v>1.1000000000000001</v>
      </c>
      <c r="L213">
        <v>10</v>
      </c>
      <c r="M213" s="1">
        <v>15000000</v>
      </c>
      <c r="N213" s="2">
        <f>IF(O213="US",1,0)</f>
        <v>1</v>
      </c>
      <c r="O213" t="s">
        <v>21</v>
      </c>
    </row>
    <row r="214" spans="1:15">
      <c r="A214" t="s">
        <v>234</v>
      </c>
      <c r="B214" t="s">
        <v>16</v>
      </c>
      <c r="C214">
        <f>IF(B214="east",1,0)</f>
        <v>0</v>
      </c>
      <c r="D214" t="s">
        <v>24</v>
      </c>
      <c r="E214">
        <f>IF(D214="Guard",1,0)</f>
        <v>0</v>
      </c>
      <c r="F214">
        <f>IF(D214="Forward",1,0)</f>
        <v>1</v>
      </c>
      <c r="G214">
        <v>26</v>
      </c>
      <c r="H214">
        <v>60</v>
      </c>
      <c r="I214">
        <v>22.1</v>
      </c>
      <c r="J214">
        <v>3</v>
      </c>
      <c r="K214">
        <v>2.2999999999999998</v>
      </c>
      <c r="L214">
        <v>10</v>
      </c>
      <c r="M214" s="1">
        <v>712637</v>
      </c>
      <c r="N214" s="2">
        <f>IF(O214="US",1,0)</f>
        <v>1</v>
      </c>
      <c r="O214" t="s">
        <v>21</v>
      </c>
    </row>
    <row r="215" spans="1:15">
      <c r="A215" t="s">
        <v>235</v>
      </c>
      <c r="B215" t="s">
        <v>16</v>
      </c>
      <c r="C215">
        <f>IF(B215="east",1,0)</f>
        <v>0</v>
      </c>
      <c r="D215" t="s">
        <v>24</v>
      </c>
      <c r="E215">
        <f>IF(D215="Guard",1,0)</f>
        <v>0</v>
      </c>
      <c r="F215">
        <f>IF(D215="Forward",1,0)</f>
        <v>1</v>
      </c>
      <c r="G215">
        <v>23</v>
      </c>
      <c r="H215">
        <v>53</v>
      </c>
      <c r="I215">
        <v>18.600000000000001</v>
      </c>
      <c r="J215">
        <v>3.5</v>
      </c>
      <c r="K215">
        <v>1</v>
      </c>
      <c r="L215">
        <v>10</v>
      </c>
      <c r="M215" s="1">
        <v>527879</v>
      </c>
      <c r="N215" s="2">
        <f>IF(O215="US",1,0)</f>
        <v>0</v>
      </c>
      <c r="O215" t="s">
        <v>18</v>
      </c>
    </row>
    <row r="216" spans="1:15">
      <c r="A216" t="s">
        <v>236</v>
      </c>
      <c r="B216" t="s">
        <v>16</v>
      </c>
      <c r="C216">
        <f>IF(B216="east",1,0)</f>
        <v>0</v>
      </c>
      <c r="D216" t="s">
        <v>17</v>
      </c>
      <c r="E216">
        <f>IF(D216="Guard",1,0)</f>
        <v>1</v>
      </c>
      <c r="F216">
        <f>IF(D216="Forward",1,0)</f>
        <v>0</v>
      </c>
      <c r="G216">
        <v>24</v>
      </c>
      <c r="H216">
        <v>6</v>
      </c>
      <c r="I216">
        <v>36.200000000000003</v>
      </c>
      <c r="J216">
        <v>3.5</v>
      </c>
      <c r="K216">
        <v>1</v>
      </c>
      <c r="L216">
        <v>10</v>
      </c>
      <c r="M216" s="1">
        <v>73153</v>
      </c>
      <c r="N216" s="2">
        <f>IF(O216="US",1,0)</f>
        <v>1</v>
      </c>
      <c r="O216" t="s">
        <v>21</v>
      </c>
    </row>
    <row r="217" spans="1:15">
      <c r="A217" t="s">
        <v>237</v>
      </c>
      <c r="B217" t="s">
        <v>16</v>
      </c>
      <c r="C217">
        <f>IF(B217="east",1,0)</f>
        <v>0</v>
      </c>
      <c r="D217" t="s">
        <v>24</v>
      </c>
      <c r="E217">
        <f>IF(D217="Guard",1,0)</f>
        <v>0</v>
      </c>
      <c r="F217">
        <f>IF(D217="Forward",1,0)</f>
        <v>1</v>
      </c>
      <c r="G217">
        <v>33</v>
      </c>
      <c r="H217">
        <v>77</v>
      </c>
      <c r="I217">
        <v>25.8</v>
      </c>
      <c r="J217">
        <v>2.8</v>
      </c>
      <c r="K217">
        <v>1.9</v>
      </c>
      <c r="L217">
        <v>9.9</v>
      </c>
      <c r="M217" s="1">
        <v>19000000</v>
      </c>
      <c r="N217" s="2">
        <f>IF(O217="US",1,0)</f>
        <v>1</v>
      </c>
      <c r="O217" t="s">
        <v>21</v>
      </c>
    </row>
    <row r="218" spans="1:15">
      <c r="A218" t="s">
        <v>238</v>
      </c>
      <c r="B218" t="s">
        <v>23</v>
      </c>
      <c r="C218">
        <f>IF(B218="east",1,0)</f>
        <v>1</v>
      </c>
      <c r="D218" t="s">
        <v>24</v>
      </c>
      <c r="E218">
        <f>IF(D218="Guard",1,0)</f>
        <v>0</v>
      </c>
      <c r="F218">
        <f>IF(D218="Forward",1,0)</f>
        <v>1</v>
      </c>
      <c r="G218">
        <v>23</v>
      </c>
      <c r="H218">
        <v>73</v>
      </c>
      <c r="I218">
        <v>26</v>
      </c>
      <c r="J218">
        <v>5.7</v>
      </c>
      <c r="K218">
        <v>3.1</v>
      </c>
      <c r="L218">
        <v>9.9</v>
      </c>
      <c r="M218" s="1">
        <v>8775000</v>
      </c>
      <c r="N218" s="2">
        <f>IF(O218="US",1,0)</f>
        <v>1</v>
      </c>
      <c r="O218" t="s">
        <v>21</v>
      </c>
    </row>
    <row r="219" spans="1:15">
      <c r="A219" t="s">
        <v>239</v>
      </c>
      <c r="B219" t="s">
        <v>23</v>
      </c>
      <c r="C219">
        <f>IF(B219="east",1,0)</f>
        <v>1</v>
      </c>
      <c r="D219" t="s">
        <v>24</v>
      </c>
      <c r="E219">
        <f>IF(D219="Guard",1,0)</f>
        <v>0</v>
      </c>
      <c r="F219">
        <f>IF(D219="Forward",1,0)</f>
        <v>1</v>
      </c>
      <c r="G219">
        <v>24</v>
      </c>
      <c r="H219">
        <v>77</v>
      </c>
      <c r="I219">
        <v>24.7</v>
      </c>
      <c r="J219">
        <v>3.7</v>
      </c>
      <c r="K219">
        <v>1.6</v>
      </c>
      <c r="L219">
        <v>9.9</v>
      </c>
      <c r="M219" s="1">
        <v>3809520</v>
      </c>
      <c r="N219" s="2">
        <f>IF(O219="US",1,0)</f>
        <v>0</v>
      </c>
      <c r="O219" t="s">
        <v>18</v>
      </c>
    </row>
    <row r="220" spans="1:15">
      <c r="A220" t="s">
        <v>240</v>
      </c>
      <c r="B220" t="s">
        <v>16</v>
      </c>
      <c r="C220">
        <f>IF(B220="east",1,0)</f>
        <v>0</v>
      </c>
      <c r="D220" t="s">
        <v>24</v>
      </c>
      <c r="E220">
        <f>IF(D220="Guard",1,0)</f>
        <v>0</v>
      </c>
      <c r="F220">
        <f>IF(D220="Forward",1,0)</f>
        <v>1</v>
      </c>
      <c r="G220">
        <v>32</v>
      </c>
      <c r="H220">
        <v>78</v>
      </c>
      <c r="I220">
        <v>28.4</v>
      </c>
      <c r="J220">
        <v>4.8</v>
      </c>
      <c r="K220">
        <v>2.7</v>
      </c>
      <c r="L220">
        <v>9.8000000000000007</v>
      </c>
      <c r="M220" s="1">
        <v>10125000</v>
      </c>
      <c r="N220" s="2">
        <f>IF(O220="US",1,0)</f>
        <v>1</v>
      </c>
      <c r="O220" t="s">
        <v>21</v>
      </c>
    </row>
    <row r="221" spans="1:15">
      <c r="A221" t="s">
        <v>241</v>
      </c>
      <c r="B221" t="s">
        <v>23</v>
      </c>
      <c r="C221">
        <f>IF(B221="east",1,0)</f>
        <v>1</v>
      </c>
      <c r="D221" t="s">
        <v>29</v>
      </c>
      <c r="E221">
        <f>IF(D221="Guard",1,0)</f>
        <v>0</v>
      </c>
      <c r="F221">
        <f>IF(D221="Forward",1,0)</f>
        <v>0</v>
      </c>
      <c r="G221">
        <v>28</v>
      </c>
      <c r="H221">
        <v>10</v>
      </c>
      <c r="I221">
        <v>18.399999999999999</v>
      </c>
      <c r="J221">
        <v>5.6</v>
      </c>
      <c r="K221">
        <v>1.5</v>
      </c>
      <c r="L221">
        <v>9.6999999999999993</v>
      </c>
      <c r="M221" s="1">
        <v>18080496</v>
      </c>
      <c r="N221" s="2">
        <f>IF(O221="US",1,0)</f>
        <v>1</v>
      </c>
      <c r="O221" t="s">
        <v>21</v>
      </c>
    </row>
    <row r="222" spans="1:15">
      <c r="A222" t="s">
        <v>242</v>
      </c>
      <c r="B222" t="s">
        <v>23</v>
      </c>
      <c r="C222">
        <f>IF(B222="east",1,0)</f>
        <v>1</v>
      </c>
      <c r="D222" t="s">
        <v>29</v>
      </c>
      <c r="E222">
        <f>IF(D222="Guard",1,0)</f>
        <v>0</v>
      </c>
      <c r="F222">
        <f>IF(D222="Forward",1,0)</f>
        <v>0</v>
      </c>
      <c r="G222">
        <v>27</v>
      </c>
      <c r="H222">
        <v>47</v>
      </c>
      <c r="I222">
        <v>19.3</v>
      </c>
      <c r="J222">
        <v>5</v>
      </c>
      <c r="K222">
        <v>1.5</v>
      </c>
      <c r="L222">
        <v>9.6999999999999993</v>
      </c>
      <c r="M222" s="1">
        <v>1527805</v>
      </c>
      <c r="N222" s="2">
        <f>IF(O222="US",1,0)</f>
        <v>1</v>
      </c>
      <c r="O222" t="s">
        <v>21</v>
      </c>
    </row>
    <row r="223" spans="1:15">
      <c r="A223" t="s">
        <v>243</v>
      </c>
      <c r="B223" t="s">
        <v>16</v>
      </c>
      <c r="C223">
        <f>IF(B223="east",1,0)</f>
        <v>0</v>
      </c>
      <c r="D223" t="s">
        <v>17</v>
      </c>
      <c r="E223">
        <f>IF(D223="Guard",1,0)</f>
        <v>1</v>
      </c>
      <c r="F223">
        <f>IF(D223="Forward",1,0)</f>
        <v>0</v>
      </c>
      <c r="G223">
        <v>23</v>
      </c>
      <c r="H223">
        <v>41</v>
      </c>
      <c r="I223">
        <v>20.2</v>
      </c>
      <c r="J223">
        <v>3.1</v>
      </c>
      <c r="K223">
        <v>3.7</v>
      </c>
      <c r="L223">
        <v>9.6999999999999993</v>
      </c>
      <c r="M223" s="1">
        <v>636435</v>
      </c>
      <c r="N223" s="2">
        <f>IF(O223="US",1,0)</f>
        <v>1</v>
      </c>
      <c r="O223" t="s">
        <v>21</v>
      </c>
    </row>
    <row r="224" spans="1:15">
      <c r="A224" t="s">
        <v>244</v>
      </c>
      <c r="B224" t="s">
        <v>23</v>
      </c>
      <c r="C224">
        <f>IF(B224="east",1,0)</f>
        <v>1</v>
      </c>
      <c r="D224" t="s">
        <v>24</v>
      </c>
      <c r="E224">
        <f>IF(D224="Guard",1,0)</f>
        <v>0</v>
      </c>
      <c r="F224">
        <f>IF(D224="Forward",1,0)</f>
        <v>1</v>
      </c>
      <c r="G224">
        <v>20</v>
      </c>
      <c r="H224">
        <v>67</v>
      </c>
      <c r="I224">
        <v>22.4</v>
      </c>
      <c r="J224">
        <v>3.8</v>
      </c>
      <c r="K224">
        <v>1.1000000000000001</v>
      </c>
      <c r="L224">
        <v>9.6</v>
      </c>
      <c r="M224" s="1">
        <v>13197720</v>
      </c>
      <c r="N224" s="2">
        <f>IF(O224="US",1,0)</f>
        <v>0</v>
      </c>
      <c r="O224" t="s">
        <v>18</v>
      </c>
    </row>
    <row r="225" spans="1:15">
      <c r="A225" t="s">
        <v>245</v>
      </c>
      <c r="B225" t="s">
        <v>16</v>
      </c>
      <c r="C225">
        <f>IF(B225="east",1,0)</f>
        <v>0</v>
      </c>
      <c r="D225" t="s">
        <v>29</v>
      </c>
      <c r="E225">
        <f>IF(D225="Guard",1,0)</f>
        <v>0</v>
      </c>
      <c r="F225">
        <f>IF(D225="Forward",1,0)</f>
        <v>0</v>
      </c>
      <c r="G225">
        <v>27</v>
      </c>
      <c r="H225">
        <v>55</v>
      </c>
      <c r="I225">
        <v>21.7</v>
      </c>
      <c r="J225">
        <v>6.9</v>
      </c>
      <c r="K225">
        <v>1.1000000000000001</v>
      </c>
      <c r="L225">
        <v>9.5</v>
      </c>
      <c r="M225" s="1">
        <v>14386320</v>
      </c>
      <c r="N225" s="2">
        <f>IF(O225="US",1,0)</f>
        <v>1</v>
      </c>
      <c r="O225" t="s">
        <v>21</v>
      </c>
    </row>
    <row r="226" spans="1:15">
      <c r="A226" t="s">
        <v>246</v>
      </c>
      <c r="B226" t="s">
        <v>23</v>
      </c>
      <c r="C226">
        <f>IF(B226="east",1,0)</f>
        <v>1</v>
      </c>
      <c r="D226" t="s">
        <v>29</v>
      </c>
      <c r="E226">
        <f>IF(D226="Guard",1,0)</f>
        <v>0</v>
      </c>
      <c r="F226">
        <f>IF(D226="Forward",1,0)</f>
        <v>0</v>
      </c>
      <c r="G226">
        <v>27</v>
      </c>
      <c r="H226">
        <v>82</v>
      </c>
      <c r="I226">
        <v>21</v>
      </c>
      <c r="J226">
        <v>4</v>
      </c>
      <c r="K226">
        <v>1.5</v>
      </c>
      <c r="L226">
        <v>9.5</v>
      </c>
      <c r="M226" s="1">
        <v>2349578</v>
      </c>
      <c r="N226" s="2">
        <f>IF(O226="US",1,0)</f>
        <v>1</v>
      </c>
      <c r="O226" t="s">
        <v>21</v>
      </c>
    </row>
    <row r="227" spans="1:15">
      <c r="A227" t="s">
        <v>247</v>
      </c>
      <c r="B227" t="s">
        <v>23</v>
      </c>
      <c r="C227">
        <f>IF(B227="east",1,0)</f>
        <v>1</v>
      </c>
      <c r="D227" t="s">
        <v>17</v>
      </c>
      <c r="E227">
        <f>IF(D227="Guard",1,0)</f>
        <v>1</v>
      </c>
      <c r="F227">
        <f>IF(D227="Forward",1,0)</f>
        <v>0</v>
      </c>
      <c r="G227">
        <v>33</v>
      </c>
      <c r="H227">
        <v>56</v>
      </c>
      <c r="I227">
        <v>17.2</v>
      </c>
      <c r="J227">
        <v>2.2000000000000002</v>
      </c>
      <c r="K227">
        <v>5.0999999999999996</v>
      </c>
      <c r="L227">
        <v>9.4</v>
      </c>
      <c r="M227" s="1">
        <v>10200000</v>
      </c>
      <c r="N227" s="2">
        <f>IF(O227="US",1,0)</f>
        <v>1</v>
      </c>
      <c r="O227" t="s">
        <v>21</v>
      </c>
    </row>
    <row r="228" spans="1:15">
      <c r="A228" t="s">
        <v>248</v>
      </c>
      <c r="B228" t="s">
        <v>16</v>
      </c>
      <c r="C228">
        <f>IF(B228="east",1,0)</f>
        <v>0</v>
      </c>
      <c r="D228" t="s">
        <v>17</v>
      </c>
      <c r="E228">
        <f>IF(D228="Guard",1,0)</f>
        <v>1</v>
      </c>
      <c r="F228">
        <f>IF(D228="Forward",1,0)</f>
        <v>0</v>
      </c>
      <c r="G228">
        <v>27</v>
      </c>
      <c r="H228">
        <v>65</v>
      </c>
      <c r="I228">
        <v>21.8</v>
      </c>
      <c r="J228">
        <v>3.1</v>
      </c>
      <c r="K228">
        <v>1.7</v>
      </c>
      <c r="L228">
        <v>9.4</v>
      </c>
      <c r="M228" s="1">
        <v>9672897</v>
      </c>
      <c r="N228" s="2">
        <f>IF(O228="US",1,0)</f>
        <v>1</v>
      </c>
      <c r="O228" t="s">
        <v>21</v>
      </c>
    </row>
    <row r="229" spans="1:15">
      <c r="A229" t="s">
        <v>249</v>
      </c>
      <c r="B229" t="s">
        <v>16</v>
      </c>
      <c r="C229">
        <f>IF(B229="east",1,0)</f>
        <v>0</v>
      </c>
      <c r="D229" t="s">
        <v>24</v>
      </c>
      <c r="E229">
        <f>IF(D229="Guard",1,0)</f>
        <v>0</v>
      </c>
      <c r="F229">
        <f>IF(D229="Forward",1,0)</f>
        <v>1</v>
      </c>
      <c r="G229">
        <v>28</v>
      </c>
      <c r="H229">
        <v>50</v>
      </c>
      <c r="I229">
        <v>23.1</v>
      </c>
      <c r="J229">
        <v>2.5</v>
      </c>
      <c r="K229">
        <v>1.9</v>
      </c>
      <c r="L229">
        <v>9.4</v>
      </c>
      <c r="M229" s="1">
        <v>3675000</v>
      </c>
      <c r="N229" s="2">
        <f>IF(O229="US",1,0)</f>
        <v>0</v>
      </c>
      <c r="O229" t="s">
        <v>18</v>
      </c>
    </row>
    <row r="230" spans="1:15">
      <c r="A230" t="s">
        <v>250</v>
      </c>
      <c r="B230" t="s">
        <v>23</v>
      </c>
      <c r="C230">
        <f>IF(B230="east",1,0)</f>
        <v>1</v>
      </c>
      <c r="D230" t="s">
        <v>17</v>
      </c>
      <c r="E230">
        <f>IF(D230="Guard",1,0)</f>
        <v>1</v>
      </c>
      <c r="F230">
        <f>IF(D230="Forward",1,0)</f>
        <v>0</v>
      </c>
      <c r="G230">
        <v>27</v>
      </c>
      <c r="H230">
        <v>70</v>
      </c>
      <c r="I230">
        <v>28.6</v>
      </c>
      <c r="J230">
        <v>2.7</v>
      </c>
      <c r="K230">
        <v>6.5</v>
      </c>
      <c r="L230">
        <v>9.3000000000000007</v>
      </c>
      <c r="M230" s="1">
        <v>11600000</v>
      </c>
      <c r="N230" s="2">
        <f>IF(O230="US",1,0)</f>
        <v>1</v>
      </c>
      <c r="O230" t="s">
        <v>21</v>
      </c>
    </row>
    <row r="231" spans="1:15">
      <c r="A231" t="s">
        <v>251</v>
      </c>
      <c r="B231" t="s">
        <v>23</v>
      </c>
      <c r="C231">
        <f>IF(B231="east",1,0)</f>
        <v>1</v>
      </c>
      <c r="D231" t="s">
        <v>17</v>
      </c>
      <c r="E231">
        <f>IF(D231="Guard",1,0)</f>
        <v>1</v>
      </c>
      <c r="F231">
        <f>IF(D231="Forward",1,0)</f>
        <v>0</v>
      </c>
      <c r="G231">
        <v>25</v>
      </c>
      <c r="H231">
        <v>63</v>
      </c>
      <c r="I231">
        <v>26.9</v>
      </c>
      <c r="J231">
        <v>2.7</v>
      </c>
      <c r="K231">
        <v>1.6</v>
      </c>
      <c r="L231">
        <v>9.3000000000000007</v>
      </c>
      <c r="M231" s="1">
        <v>11000000</v>
      </c>
      <c r="N231" s="2">
        <f>IF(O231="US",1,0)</f>
        <v>1</v>
      </c>
      <c r="O231" t="s">
        <v>21</v>
      </c>
    </row>
    <row r="232" spans="1:15">
      <c r="A232" t="s">
        <v>252</v>
      </c>
      <c r="B232" t="s">
        <v>16</v>
      </c>
      <c r="C232">
        <f>IF(B232="east",1,0)</f>
        <v>0</v>
      </c>
      <c r="D232" t="s">
        <v>17</v>
      </c>
      <c r="E232">
        <f>IF(D232="Guard",1,0)</f>
        <v>1</v>
      </c>
      <c r="F232">
        <f>IF(D232="Forward",1,0)</f>
        <v>0</v>
      </c>
      <c r="G232">
        <v>31</v>
      </c>
      <c r="H232">
        <v>62</v>
      </c>
      <c r="I232">
        <v>28.5</v>
      </c>
      <c r="J232">
        <v>2.8</v>
      </c>
      <c r="K232">
        <v>3</v>
      </c>
      <c r="L232">
        <v>9.3000000000000007</v>
      </c>
      <c r="M232" s="1">
        <v>5134000</v>
      </c>
      <c r="N232" s="2">
        <f>IF(O232="US",1,0)</f>
        <v>1</v>
      </c>
      <c r="O232" t="s">
        <v>21</v>
      </c>
    </row>
    <row r="233" spans="1:15">
      <c r="A233" t="s">
        <v>253</v>
      </c>
      <c r="B233" t="s">
        <v>23</v>
      </c>
      <c r="C233">
        <f>IF(B233="east",1,0)</f>
        <v>1</v>
      </c>
      <c r="D233" t="s">
        <v>17</v>
      </c>
      <c r="E233">
        <f>IF(D233="Guard",1,0)</f>
        <v>1</v>
      </c>
      <c r="F233">
        <f>IF(D233="Forward",1,0)</f>
        <v>0</v>
      </c>
      <c r="G233">
        <v>24</v>
      </c>
      <c r="H233">
        <v>72</v>
      </c>
      <c r="I233">
        <v>20.2</v>
      </c>
      <c r="J233">
        <v>2.2999999999999998</v>
      </c>
      <c r="K233">
        <v>3.9</v>
      </c>
      <c r="L233">
        <v>9.3000000000000007</v>
      </c>
      <c r="M233" s="1">
        <v>3809524</v>
      </c>
      <c r="N233" s="2">
        <f>IF(O233="US",1,0)</f>
        <v>1</v>
      </c>
      <c r="O233" t="s">
        <v>21</v>
      </c>
    </row>
    <row r="234" spans="1:15">
      <c r="A234" t="s">
        <v>254</v>
      </c>
      <c r="B234" t="s">
        <v>23</v>
      </c>
      <c r="C234">
        <f>IF(B234="east",1,0)</f>
        <v>1</v>
      </c>
      <c r="D234" t="s">
        <v>17</v>
      </c>
      <c r="E234">
        <f>IF(D234="Guard",1,0)</f>
        <v>1</v>
      </c>
      <c r="F234">
        <f>IF(D234="Forward",1,0)</f>
        <v>0</v>
      </c>
      <c r="G234">
        <v>28</v>
      </c>
      <c r="H234">
        <v>51</v>
      </c>
      <c r="I234">
        <v>23</v>
      </c>
      <c r="J234">
        <v>1.8</v>
      </c>
      <c r="K234">
        <v>1.4</v>
      </c>
      <c r="L234">
        <v>9.3000000000000007</v>
      </c>
      <c r="M234" s="1">
        <v>3080921</v>
      </c>
      <c r="N234" s="2">
        <f>IF(O234="US",1,0)</f>
        <v>1</v>
      </c>
      <c r="O234" t="s">
        <v>21</v>
      </c>
    </row>
    <row r="235" spans="1:15">
      <c r="A235" t="s">
        <v>255</v>
      </c>
      <c r="B235" t="s">
        <v>16</v>
      </c>
      <c r="C235">
        <f>IF(B235="east",1,0)</f>
        <v>0</v>
      </c>
      <c r="D235" t="s">
        <v>29</v>
      </c>
      <c r="E235">
        <f>IF(D235="Guard",1,0)</f>
        <v>0</v>
      </c>
      <c r="F235">
        <f>IF(D235="Forward",1,0)</f>
        <v>0</v>
      </c>
      <c r="G235">
        <v>27</v>
      </c>
      <c r="H235">
        <v>47</v>
      </c>
      <c r="I235">
        <v>24.2</v>
      </c>
      <c r="J235">
        <v>9.4</v>
      </c>
      <c r="K235">
        <v>3.5</v>
      </c>
      <c r="L235">
        <v>9.1999999999999993</v>
      </c>
      <c r="M235" s="1">
        <v>28500000</v>
      </c>
      <c r="N235" s="2">
        <f>IF(O235="US",1,0)</f>
        <v>0</v>
      </c>
      <c r="O235" t="s">
        <v>18</v>
      </c>
    </row>
    <row r="236" spans="1:15">
      <c r="A236" t="s">
        <v>256</v>
      </c>
      <c r="B236" t="s">
        <v>23</v>
      </c>
      <c r="C236">
        <f>IF(B236="east",1,0)</f>
        <v>1</v>
      </c>
      <c r="D236" t="s">
        <v>24</v>
      </c>
      <c r="E236">
        <f>IF(D236="Guard",1,0)</f>
        <v>0</v>
      </c>
      <c r="F236">
        <f>IF(D236="Forward",1,0)</f>
        <v>1</v>
      </c>
      <c r="G236">
        <v>26</v>
      </c>
      <c r="H236">
        <v>58</v>
      </c>
      <c r="I236">
        <v>18.600000000000001</v>
      </c>
      <c r="J236">
        <v>2.2999999999999998</v>
      </c>
      <c r="K236">
        <v>1.6</v>
      </c>
      <c r="L236">
        <v>9.1999999999999993</v>
      </c>
      <c r="M236" s="1">
        <v>13975000</v>
      </c>
      <c r="N236" s="2">
        <f>IF(O236="US",1,0)</f>
        <v>1</v>
      </c>
      <c r="O236" t="s">
        <v>21</v>
      </c>
    </row>
    <row r="237" spans="1:15">
      <c r="A237" t="s">
        <v>257</v>
      </c>
      <c r="B237" t="s">
        <v>23</v>
      </c>
      <c r="C237">
        <f>IF(B237="east",1,0)</f>
        <v>1</v>
      </c>
      <c r="D237" t="s">
        <v>24</v>
      </c>
      <c r="E237">
        <f>IF(D237="Guard",1,0)</f>
        <v>0</v>
      </c>
      <c r="F237">
        <f>IF(D237="Forward",1,0)</f>
        <v>1</v>
      </c>
      <c r="G237">
        <v>28</v>
      </c>
      <c r="H237">
        <v>78</v>
      </c>
      <c r="I237">
        <v>24.8</v>
      </c>
      <c r="J237">
        <v>3.8</v>
      </c>
      <c r="K237">
        <v>1.5</v>
      </c>
      <c r="L237">
        <v>9.1999999999999993</v>
      </c>
      <c r="M237" s="1">
        <v>10044644</v>
      </c>
      <c r="N237" s="2">
        <f>IF(O237="US",1,0)</f>
        <v>1</v>
      </c>
      <c r="O237" t="s">
        <v>21</v>
      </c>
    </row>
    <row r="238" spans="1:15">
      <c r="A238" t="s">
        <v>258</v>
      </c>
      <c r="B238" t="s">
        <v>23</v>
      </c>
      <c r="C238">
        <f>IF(B238="east",1,0)</f>
        <v>1</v>
      </c>
      <c r="D238" t="s">
        <v>17</v>
      </c>
      <c r="E238">
        <f>IF(D238="Guard",1,0)</f>
        <v>1</v>
      </c>
      <c r="F238">
        <f>IF(D238="Forward",1,0)</f>
        <v>0</v>
      </c>
      <c r="G238">
        <v>23</v>
      </c>
      <c r="H238">
        <v>57</v>
      </c>
      <c r="I238">
        <v>15.8</v>
      </c>
      <c r="J238">
        <v>1.5</v>
      </c>
      <c r="K238">
        <v>1</v>
      </c>
      <c r="L238">
        <v>9.1999999999999993</v>
      </c>
      <c r="M238" s="1">
        <v>6000000</v>
      </c>
      <c r="N238" s="2">
        <f>IF(O238="US",1,0)</f>
        <v>1</v>
      </c>
      <c r="O238" t="s">
        <v>21</v>
      </c>
    </row>
    <row r="239" spans="1:15">
      <c r="A239" t="s">
        <v>259</v>
      </c>
      <c r="B239" t="s">
        <v>23</v>
      </c>
      <c r="C239">
        <f>IF(B239="east",1,0)</f>
        <v>1</v>
      </c>
      <c r="D239" t="s">
        <v>24</v>
      </c>
      <c r="E239">
        <f>IF(D239="Guard",1,0)</f>
        <v>0</v>
      </c>
      <c r="F239">
        <f>IF(D239="Forward",1,0)</f>
        <v>1</v>
      </c>
      <c r="G239">
        <v>21</v>
      </c>
      <c r="H239">
        <v>21</v>
      </c>
      <c r="I239">
        <v>16.899999999999999</v>
      </c>
      <c r="J239">
        <v>2.8</v>
      </c>
      <c r="K239">
        <v>0.7</v>
      </c>
      <c r="L239">
        <v>9.1999999999999993</v>
      </c>
      <c r="M239" s="1">
        <v>3539760</v>
      </c>
      <c r="N239" s="2">
        <f>IF(O239="US",1,0)</f>
        <v>1</v>
      </c>
      <c r="O239" t="s">
        <v>21</v>
      </c>
    </row>
    <row r="240" spans="1:15">
      <c r="A240" t="s">
        <v>260</v>
      </c>
      <c r="B240" t="s">
        <v>23</v>
      </c>
      <c r="C240">
        <f>IF(B240="east",1,0)</f>
        <v>1</v>
      </c>
      <c r="D240" t="s">
        <v>24</v>
      </c>
      <c r="E240">
        <f>IF(D240="Guard",1,0)</f>
        <v>0</v>
      </c>
      <c r="F240">
        <f>IF(D240="Forward",1,0)</f>
        <v>1</v>
      </c>
      <c r="G240">
        <v>31</v>
      </c>
      <c r="H240">
        <v>26</v>
      </c>
      <c r="I240">
        <v>23.5</v>
      </c>
      <c r="J240">
        <v>3.1</v>
      </c>
      <c r="K240">
        <v>1.8</v>
      </c>
      <c r="L240">
        <v>9.1999999999999993</v>
      </c>
      <c r="M240" s="1">
        <v>3303774</v>
      </c>
      <c r="N240" s="2">
        <f>IF(O240="US",1,0)</f>
        <v>1</v>
      </c>
      <c r="O240" t="s">
        <v>21</v>
      </c>
    </row>
    <row r="241" spans="1:15">
      <c r="A241" t="s">
        <v>261</v>
      </c>
      <c r="B241" t="s">
        <v>16</v>
      </c>
      <c r="C241">
        <f>IF(B241="east",1,0)</f>
        <v>0</v>
      </c>
      <c r="D241" t="s">
        <v>24</v>
      </c>
      <c r="E241">
        <f>IF(D241="Guard",1,0)</f>
        <v>0</v>
      </c>
      <c r="F241">
        <f>IF(D241="Forward",1,0)</f>
        <v>1</v>
      </c>
      <c r="G241">
        <v>23</v>
      </c>
      <c r="H241">
        <v>68</v>
      </c>
      <c r="I241">
        <v>20.5</v>
      </c>
      <c r="J241">
        <v>3.9</v>
      </c>
      <c r="K241">
        <v>2.2999999999999998</v>
      </c>
      <c r="L241">
        <v>9.1999999999999993</v>
      </c>
      <c r="M241" s="1">
        <v>2221677</v>
      </c>
      <c r="N241" s="2">
        <f>IF(O241="US",1,0)</f>
        <v>0</v>
      </c>
      <c r="O241" t="s">
        <v>18</v>
      </c>
    </row>
    <row r="242" spans="1:15">
      <c r="A242" t="s">
        <v>262</v>
      </c>
      <c r="B242" t="s">
        <v>23</v>
      </c>
      <c r="C242">
        <f>IF(B242="east",1,0)</f>
        <v>1</v>
      </c>
      <c r="D242" t="s">
        <v>17</v>
      </c>
      <c r="E242">
        <f>IF(D242="Guard",1,0)</f>
        <v>1</v>
      </c>
      <c r="F242">
        <f>IF(D242="Forward",1,0)</f>
        <v>0</v>
      </c>
      <c r="G242">
        <v>27</v>
      </c>
      <c r="H242">
        <v>49</v>
      </c>
      <c r="I242">
        <v>18.3</v>
      </c>
      <c r="J242">
        <v>2.2999999999999998</v>
      </c>
      <c r="K242">
        <v>2.9</v>
      </c>
      <c r="L242">
        <v>9.1</v>
      </c>
      <c r="M242" s="1">
        <v>601553</v>
      </c>
      <c r="N242" s="2">
        <f>IF(O242="US",1,0)</f>
        <v>1</v>
      </c>
      <c r="O242" t="s">
        <v>21</v>
      </c>
    </row>
    <row r="243" spans="1:15">
      <c r="A243" t="s">
        <v>263</v>
      </c>
      <c r="B243" t="s">
        <v>23</v>
      </c>
      <c r="C243">
        <f>IF(B243="east",1,0)</f>
        <v>1</v>
      </c>
      <c r="D243" t="s">
        <v>29</v>
      </c>
      <c r="E243">
        <f>IF(D243="Guard",1,0)</f>
        <v>0</v>
      </c>
      <c r="F243">
        <f>IF(D243="Forward",1,0)</f>
        <v>0</v>
      </c>
      <c r="G243">
        <v>22</v>
      </c>
      <c r="H243">
        <v>49</v>
      </c>
      <c r="I243">
        <v>13.7</v>
      </c>
      <c r="J243">
        <v>3</v>
      </c>
      <c r="K243">
        <v>1.1000000000000001</v>
      </c>
      <c r="L243">
        <v>9</v>
      </c>
      <c r="M243" s="1">
        <v>2857143</v>
      </c>
      <c r="N243" s="2">
        <f>IF(O243="US",1,0)</f>
        <v>0</v>
      </c>
      <c r="O243" t="s">
        <v>18</v>
      </c>
    </row>
    <row r="244" spans="1:15">
      <c r="A244" t="s">
        <v>264</v>
      </c>
      <c r="B244" t="s">
        <v>16</v>
      </c>
      <c r="C244">
        <f>IF(B244="east",1,0)</f>
        <v>0</v>
      </c>
      <c r="D244" t="s">
        <v>24</v>
      </c>
      <c r="E244">
        <f>IF(D244="Guard",1,0)</f>
        <v>0</v>
      </c>
      <c r="F244">
        <f>IF(D244="Forward",1,0)</f>
        <v>1</v>
      </c>
      <c r="G244">
        <v>27</v>
      </c>
      <c r="H244">
        <v>56</v>
      </c>
      <c r="I244">
        <v>28.4</v>
      </c>
      <c r="J244">
        <v>3.4</v>
      </c>
      <c r="K244">
        <v>2.8</v>
      </c>
      <c r="L244">
        <v>8.9</v>
      </c>
      <c r="M244" s="1">
        <v>13937574</v>
      </c>
      <c r="N244" s="2">
        <f>IF(O244="US",1,0)</f>
        <v>1</v>
      </c>
      <c r="O244" t="s">
        <v>21</v>
      </c>
    </row>
    <row r="245" spans="1:15">
      <c r="A245" t="s">
        <v>265</v>
      </c>
      <c r="B245" t="s">
        <v>16</v>
      </c>
      <c r="C245">
        <f>IF(B245="east",1,0)</f>
        <v>0</v>
      </c>
      <c r="D245" t="s">
        <v>17</v>
      </c>
      <c r="E245">
        <f>IF(D245="Guard",1,0)</f>
        <v>1</v>
      </c>
      <c r="F245">
        <f>IF(D245="Forward",1,0)</f>
        <v>0</v>
      </c>
      <c r="G245">
        <v>23</v>
      </c>
      <c r="H245">
        <v>38</v>
      </c>
      <c r="I245">
        <v>18.399999999999999</v>
      </c>
      <c r="J245">
        <v>3.3</v>
      </c>
      <c r="K245">
        <v>2.7</v>
      </c>
      <c r="L245">
        <v>8.9</v>
      </c>
      <c r="M245" s="1">
        <v>4923720</v>
      </c>
      <c r="N245" s="2">
        <f>IF(O245="US",1,0)</f>
        <v>1</v>
      </c>
      <c r="O245" t="s">
        <v>21</v>
      </c>
    </row>
    <row r="246" spans="1:15">
      <c r="A246" t="s">
        <v>266</v>
      </c>
      <c r="B246" t="s">
        <v>23</v>
      </c>
      <c r="C246">
        <f>IF(B246="east",1,0)</f>
        <v>1</v>
      </c>
      <c r="D246" t="s">
        <v>17</v>
      </c>
      <c r="E246">
        <f>IF(D246="Guard",1,0)</f>
        <v>1</v>
      </c>
      <c r="F246">
        <f>IF(D246="Forward",1,0)</f>
        <v>0</v>
      </c>
      <c r="G246">
        <v>19</v>
      </c>
      <c r="H246">
        <v>56</v>
      </c>
      <c r="I246">
        <v>22.2</v>
      </c>
      <c r="J246">
        <v>1.8</v>
      </c>
      <c r="K246">
        <v>3.8</v>
      </c>
      <c r="L246">
        <v>8.9</v>
      </c>
      <c r="M246" s="1">
        <v>3811560</v>
      </c>
      <c r="N246" s="2">
        <f>IF(O246="US",1,0)</f>
        <v>0</v>
      </c>
      <c r="O246" t="s">
        <v>18</v>
      </c>
    </row>
    <row r="247" spans="1:15">
      <c r="A247" t="s">
        <v>267</v>
      </c>
      <c r="B247" t="s">
        <v>23</v>
      </c>
      <c r="C247">
        <f>IF(B247="east",1,0)</f>
        <v>1</v>
      </c>
      <c r="D247" t="s">
        <v>24</v>
      </c>
      <c r="E247">
        <f>IF(D247="Guard",1,0)</f>
        <v>0</v>
      </c>
      <c r="F247">
        <f>IF(D247="Forward",1,0)</f>
        <v>1</v>
      </c>
      <c r="G247">
        <v>21</v>
      </c>
      <c r="H247">
        <v>57</v>
      </c>
      <c r="I247">
        <v>20.8</v>
      </c>
      <c r="J247">
        <v>4.9000000000000004</v>
      </c>
      <c r="K247">
        <v>2.2000000000000002</v>
      </c>
      <c r="L247">
        <v>8.9</v>
      </c>
      <c r="M247" s="1">
        <v>2801280</v>
      </c>
      <c r="N247" s="2">
        <f>IF(O247="US",1,0)</f>
        <v>1</v>
      </c>
      <c r="O247" t="s">
        <v>21</v>
      </c>
    </row>
    <row r="248" spans="1:15">
      <c r="A248" t="s">
        <v>268</v>
      </c>
      <c r="B248" t="s">
        <v>16</v>
      </c>
      <c r="C248">
        <f>IF(B248="east",1,0)</f>
        <v>0</v>
      </c>
      <c r="D248" t="s">
        <v>17</v>
      </c>
      <c r="E248">
        <f>IF(D248="Guard",1,0)</f>
        <v>1</v>
      </c>
      <c r="F248">
        <f>IF(D248="Forward",1,0)</f>
        <v>0</v>
      </c>
      <c r="G248">
        <v>21</v>
      </c>
      <c r="H248">
        <v>67</v>
      </c>
      <c r="I248">
        <v>24.3</v>
      </c>
      <c r="J248">
        <v>3</v>
      </c>
      <c r="K248">
        <v>2</v>
      </c>
      <c r="L248">
        <v>8.8000000000000007</v>
      </c>
      <c r="M248" s="1">
        <v>5742480</v>
      </c>
      <c r="N248" s="2">
        <f>IF(O248="US",1,0)</f>
        <v>1</v>
      </c>
      <c r="O248" t="s">
        <v>21</v>
      </c>
    </row>
    <row r="249" spans="1:15">
      <c r="A249" t="s">
        <v>269</v>
      </c>
      <c r="B249" t="s">
        <v>16</v>
      </c>
      <c r="C249">
        <f>IF(B249="east",1,0)</f>
        <v>0</v>
      </c>
      <c r="D249" t="s">
        <v>17</v>
      </c>
      <c r="E249">
        <f>IF(D249="Guard",1,0)</f>
        <v>1</v>
      </c>
      <c r="F249">
        <f>IF(D249="Forward",1,0)</f>
        <v>0</v>
      </c>
      <c r="G249">
        <v>22</v>
      </c>
      <c r="H249">
        <v>13</v>
      </c>
      <c r="I249">
        <v>19.5</v>
      </c>
      <c r="J249">
        <v>2.2999999999999998</v>
      </c>
      <c r="K249">
        <v>0.8</v>
      </c>
      <c r="L249">
        <v>8.8000000000000007</v>
      </c>
      <c r="M249" s="1">
        <v>157280</v>
      </c>
      <c r="N249" s="2">
        <f>IF(O249="US",1,0)</f>
        <v>1</v>
      </c>
      <c r="O249" t="s">
        <v>21</v>
      </c>
    </row>
    <row r="250" spans="1:15">
      <c r="A250" t="s">
        <v>270</v>
      </c>
      <c r="B250" t="s">
        <v>16</v>
      </c>
      <c r="C250">
        <f>IF(B250="east",1,0)</f>
        <v>0</v>
      </c>
      <c r="D250" t="s">
        <v>24</v>
      </c>
      <c r="E250">
        <f>IF(D250="Guard",1,0)</f>
        <v>0</v>
      </c>
      <c r="F250">
        <f>IF(D250="Forward",1,0)</f>
        <v>1</v>
      </c>
      <c r="G250">
        <v>23</v>
      </c>
      <c r="H250">
        <v>4</v>
      </c>
      <c r="I250">
        <v>15.8</v>
      </c>
      <c r="J250">
        <v>2.5</v>
      </c>
      <c r="K250">
        <v>0</v>
      </c>
      <c r="L250">
        <v>8.8000000000000007</v>
      </c>
      <c r="M250" s="1">
        <v>153622</v>
      </c>
      <c r="N250" s="2">
        <f>IF(O250="US",1,0)</f>
        <v>1</v>
      </c>
      <c r="O250" t="s">
        <v>21</v>
      </c>
    </row>
    <row r="251" spans="1:15">
      <c r="A251" t="s">
        <v>271</v>
      </c>
      <c r="B251" t="s">
        <v>16</v>
      </c>
      <c r="C251">
        <f>IF(B251="east",1,0)</f>
        <v>0</v>
      </c>
      <c r="D251" t="s">
        <v>29</v>
      </c>
      <c r="E251">
        <f>IF(D251="Guard",1,0)</f>
        <v>0</v>
      </c>
      <c r="F251">
        <f>IF(D251="Forward",1,0)</f>
        <v>0</v>
      </c>
      <c r="G251">
        <v>33</v>
      </c>
      <c r="H251">
        <v>65</v>
      </c>
      <c r="I251">
        <v>13.4</v>
      </c>
      <c r="J251">
        <v>5.0999999999999996</v>
      </c>
      <c r="K251">
        <v>1.2</v>
      </c>
      <c r="L251">
        <v>8.6999999999999993</v>
      </c>
      <c r="M251" s="1">
        <v>10395000</v>
      </c>
      <c r="N251" s="2">
        <f>IF(O251="US",1,0)</f>
        <v>0</v>
      </c>
      <c r="O251" t="s">
        <v>18</v>
      </c>
    </row>
    <row r="252" spans="1:15">
      <c r="A252" t="s">
        <v>272</v>
      </c>
      <c r="B252" t="s">
        <v>23</v>
      </c>
      <c r="C252">
        <f>IF(B252="east",1,0)</f>
        <v>1</v>
      </c>
      <c r="D252" t="s">
        <v>29</v>
      </c>
      <c r="E252">
        <f>IF(D252="Guard",1,0)</f>
        <v>0</v>
      </c>
      <c r="F252">
        <f>IF(D252="Forward",1,0)</f>
        <v>0</v>
      </c>
      <c r="G252">
        <v>24</v>
      </c>
      <c r="H252">
        <v>62</v>
      </c>
      <c r="I252">
        <v>18.7</v>
      </c>
      <c r="J252">
        <v>6.7</v>
      </c>
      <c r="K252">
        <v>2.2999999999999998</v>
      </c>
      <c r="L252">
        <v>8.6999999999999993</v>
      </c>
      <c r="M252" s="1">
        <v>6250000</v>
      </c>
      <c r="N252" s="2">
        <f>IF(O252="US",1,0)</f>
        <v>1</v>
      </c>
      <c r="O252" t="s">
        <v>21</v>
      </c>
    </row>
    <row r="253" spans="1:15">
      <c r="A253" t="s">
        <v>273</v>
      </c>
      <c r="B253" t="s">
        <v>23</v>
      </c>
      <c r="C253">
        <f>IF(B253="east",1,0)</f>
        <v>1</v>
      </c>
      <c r="D253" t="s">
        <v>24</v>
      </c>
      <c r="E253">
        <f>IF(D253="Guard",1,0)</f>
        <v>0</v>
      </c>
      <c r="F253">
        <f>IF(D253="Forward",1,0)</f>
        <v>1</v>
      </c>
      <c r="G253">
        <v>24</v>
      </c>
      <c r="H253">
        <v>69</v>
      </c>
      <c r="I253">
        <v>20</v>
      </c>
      <c r="J253">
        <v>5.6</v>
      </c>
      <c r="K253">
        <v>1.2</v>
      </c>
      <c r="L253">
        <v>8.6999999999999993</v>
      </c>
      <c r="M253" s="1">
        <v>2349578</v>
      </c>
      <c r="N253" s="2">
        <f>IF(O253="US",1,0)</f>
        <v>1</v>
      </c>
      <c r="O253" t="s">
        <v>21</v>
      </c>
    </row>
    <row r="254" spans="1:15">
      <c r="A254" t="s">
        <v>274</v>
      </c>
      <c r="B254" t="s">
        <v>16</v>
      </c>
      <c r="C254">
        <f>IF(B254="east",1,0)</f>
        <v>0</v>
      </c>
      <c r="D254" t="s">
        <v>17</v>
      </c>
      <c r="E254">
        <f>IF(D254="Guard",1,0)</f>
        <v>1</v>
      </c>
      <c r="F254">
        <f>IF(D254="Forward",1,0)</f>
        <v>0</v>
      </c>
      <c r="G254">
        <v>27</v>
      </c>
      <c r="H254">
        <v>70</v>
      </c>
      <c r="I254">
        <v>22.5</v>
      </c>
      <c r="J254">
        <v>4.9000000000000004</v>
      </c>
      <c r="K254">
        <v>2.2000000000000002</v>
      </c>
      <c r="L254">
        <v>8.6999999999999993</v>
      </c>
      <c r="M254" s="1">
        <v>2349578</v>
      </c>
      <c r="N254" s="2">
        <f>IF(O254="US",1,0)</f>
        <v>1</v>
      </c>
      <c r="O254" t="s">
        <v>21</v>
      </c>
    </row>
    <row r="255" spans="1:15">
      <c r="A255" t="s">
        <v>275</v>
      </c>
      <c r="B255" t="s">
        <v>16</v>
      </c>
      <c r="C255">
        <f>IF(B255="east",1,0)</f>
        <v>0</v>
      </c>
      <c r="D255" t="s">
        <v>17</v>
      </c>
      <c r="E255">
        <f>IF(D255="Guard",1,0)</f>
        <v>1</v>
      </c>
      <c r="F255">
        <f>IF(D255="Forward",1,0)</f>
        <v>0</v>
      </c>
      <c r="G255">
        <v>22</v>
      </c>
      <c r="H255">
        <v>77</v>
      </c>
      <c r="I255">
        <v>26.6</v>
      </c>
      <c r="J255">
        <v>3.1</v>
      </c>
      <c r="K255">
        <v>2.6</v>
      </c>
      <c r="L255">
        <v>8.6</v>
      </c>
      <c r="M255" s="1">
        <v>5820240</v>
      </c>
      <c r="N255" s="2">
        <f>IF(O255="US",1,0)</f>
        <v>1</v>
      </c>
      <c r="O255" t="s">
        <v>21</v>
      </c>
    </row>
    <row r="256" spans="1:15">
      <c r="A256" t="s">
        <v>276</v>
      </c>
      <c r="B256" t="s">
        <v>23</v>
      </c>
      <c r="C256">
        <f>IF(B256="east",1,0)</f>
        <v>1</v>
      </c>
      <c r="D256" t="s">
        <v>17</v>
      </c>
      <c r="E256">
        <f>IF(D256="Guard",1,0)</f>
        <v>1</v>
      </c>
      <c r="F256">
        <f>IF(D256="Forward",1,0)</f>
        <v>0</v>
      </c>
      <c r="G256">
        <v>33</v>
      </c>
      <c r="H256">
        <v>72</v>
      </c>
      <c r="I256">
        <v>17.8</v>
      </c>
      <c r="J256">
        <v>1.8</v>
      </c>
      <c r="K256">
        <v>1.3</v>
      </c>
      <c r="L256">
        <v>8.6</v>
      </c>
      <c r="M256" s="1">
        <v>3634153</v>
      </c>
      <c r="N256" s="2">
        <f>IF(O256="US",1,0)</f>
        <v>1</v>
      </c>
      <c r="O256" t="s">
        <v>21</v>
      </c>
    </row>
    <row r="257" spans="1:15">
      <c r="A257" t="s">
        <v>277</v>
      </c>
      <c r="B257" t="s">
        <v>16</v>
      </c>
      <c r="C257">
        <f>IF(B257="east",1,0)</f>
        <v>0</v>
      </c>
      <c r="D257" t="s">
        <v>17</v>
      </c>
      <c r="E257">
        <f>IF(D257="Guard",1,0)</f>
        <v>1</v>
      </c>
      <c r="F257">
        <f>IF(D257="Forward",1,0)</f>
        <v>0</v>
      </c>
      <c r="G257">
        <v>23</v>
      </c>
      <c r="H257">
        <v>75</v>
      </c>
      <c r="I257">
        <v>25.1</v>
      </c>
      <c r="J257">
        <v>3.8</v>
      </c>
      <c r="K257">
        <v>2.4</v>
      </c>
      <c r="L257">
        <v>8.6</v>
      </c>
      <c r="M257" s="1">
        <v>3108120</v>
      </c>
      <c r="N257" s="2">
        <f>IF(O257="US",1,0)</f>
        <v>1</v>
      </c>
      <c r="O257" t="s">
        <v>21</v>
      </c>
    </row>
    <row r="258" spans="1:15">
      <c r="A258" t="s">
        <v>278</v>
      </c>
      <c r="B258" t="s">
        <v>16</v>
      </c>
      <c r="C258">
        <f>IF(B258="east",1,0)</f>
        <v>0</v>
      </c>
      <c r="D258" t="s">
        <v>29</v>
      </c>
      <c r="E258">
        <f>IF(D258="Guard",1,0)</f>
        <v>0</v>
      </c>
      <c r="F258">
        <f>IF(D258="Forward",1,0)</f>
        <v>0</v>
      </c>
      <c r="G258">
        <v>37</v>
      </c>
      <c r="H258">
        <v>75</v>
      </c>
      <c r="I258">
        <v>21.8</v>
      </c>
      <c r="J258">
        <v>3.6</v>
      </c>
      <c r="K258">
        <v>1.3</v>
      </c>
      <c r="L258">
        <v>8.5</v>
      </c>
      <c r="M258" s="1">
        <v>8750000</v>
      </c>
      <c r="N258" s="2">
        <f>IF(O258="US",1,0)</f>
        <v>1</v>
      </c>
      <c r="O258" t="s">
        <v>21</v>
      </c>
    </row>
    <row r="259" spans="1:15">
      <c r="A259" t="s">
        <v>279</v>
      </c>
      <c r="B259" t="s">
        <v>23</v>
      </c>
      <c r="C259">
        <f>IF(B259="east",1,0)</f>
        <v>1</v>
      </c>
      <c r="D259" t="s">
        <v>24</v>
      </c>
      <c r="E259">
        <f>IF(D259="Guard",1,0)</f>
        <v>0</v>
      </c>
      <c r="F259">
        <f>IF(D259="Forward",1,0)</f>
        <v>1</v>
      </c>
      <c r="G259">
        <v>30</v>
      </c>
      <c r="H259">
        <v>70</v>
      </c>
      <c r="I259">
        <v>16.8</v>
      </c>
      <c r="J259">
        <v>3</v>
      </c>
      <c r="K259">
        <v>1.4</v>
      </c>
      <c r="L259">
        <v>8.5</v>
      </c>
      <c r="M259" s="1">
        <v>8307692</v>
      </c>
      <c r="N259" s="2">
        <f>IF(O259="US",1,0)</f>
        <v>0</v>
      </c>
      <c r="O259" t="s">
        <v>18</v>
      </c>
    </row>
    <row r="260" spans="1:15">
      <c r="A260" t="s">
        <v>280</v>
      </c>
      <c r="B260" t="s">
        <v>23</v>
      </c>
      <c r="C260">
        <f>IF(B260="east",1,0)</f>
        <v>1</v>
      </c>
      <c r="D260" t="s">
        <v>24</v>
      </c>
      <c r="E260">
        <f>IF(D260="Guard",1,0)</f>
        <v>0</v>
      </c>
      <c r="F260">
        <f>IF(D260="Forward",1,0)</f>
        <v>1</v>
      </c>
      <c r="G260">
        <v>20</v>
      </c>
      <c r="H260">
        <v>57</v>
      </c>
      <c r="I260">
        <v>21.9</v>
      </c>
      <c r="J260">
        <v>5</v>
      </c>
      <c r="K260">
        <v>1.9</v>
      </c>
      <c r="L260">
        <v>8.5</v>
      </c>
      <c r="M260" s="1">
        <v>6332520</v>
      </c>
      <c r="N260" s="2">
        <f>IF(O260="US",1,0)</f>
        <v>1</v>
      </c>
      <c r="O260" t="s">
        <v>21</v>
      </c>
    </row>
    <row r="261" spans="1:15">
      <c r="A261" t="s">
        <v>281</v>
      </c>
      <c r="B261" t="s">
        <v>16</v>
      </c>
      <c r="C261">
        <f>IF(B261="east",1,0)</f>
        <v>0</v>
      </c>
      <c r="D261" t="s">
        <v>17</v>
      </c>
      <c r="E261">
        <f>IF(D261="Guard",1,0)</f>
        <v>1</v>
      </c>
      <c r="F261">
        <f>IF(D261="Forward",1,0)</f>
        <v>0</v>
      </c>
      <c r="G261">
        <v>25</v>
      </c>
      <c r="H261">
        <v>71</v>
      </c>
      <c r="I261">
        <v>16.600000000000001</v>
      </c>
      <c r="J261">
        <v>1.8</v>
      </c>
      <c r="K261">
        <v>2.6</v>
      </c>
      <c r="L261">
        <v>8.5</v>
      </c>
      <c r="M261" s="1">
        <v>2461463</v>
      </c>
      <c r="N261" s="2">
        <f>IF(O261="US",1,0)</f>
        <v>1</v>
      </c>
      <c r="O261" t="s">
        <v>21</v>
      </c>
    </row>
    <row r="262" spans="1:15">
      <c r="A262" t="s">
        <v>282</v>
      </c>
      <c r="B262" t="s">
        <v>16</v>
      </c>
      <c r="C262">
        <f>IF(B262="east",1,0)</f>
        <v>0</v>
      </c>
      <c r="D262" t="s">
        <v>17</v>
      </c>
      <c r="E262">
        <f>IF(D262="Guard",1,0)</f>
        <v>1</v>
      </c>
      <c r="F262">
        <f>IF(D262="Forward",1,0)</f>
        <v>0</v>
      </c>
      <c r="G262">
        <v>25</v>
      </c>
      <c r="H262">
        <v>65</v>
      </c>
      <c r="I262">
        <v>21.4</v>
      </c>
      <c r="J262">
        <v>2.2999999999999998</v>
      </c>
      <c r="K262">
        <v>1.5</v>
      </c>
      <c r="L262">
        <v>8.5</v>
      </c>
      <c r="M262" s="1">
        <v>2349578</v>
      </c>
      <c r="N262" s="2">
        <f>IF(O262="US",1,0)</f>
        <v>0</v>
      </c>
      <c r="O262" t="s">
        <v>18</v>
      </c>
    </row>
    <row r="263" spans="1:15">
      <c r="A263" t="s">
        <v>283</v>
      </c>
      <c r="B263" t="s">
        <v>16</v>
      </c>
      <c r="C263">
        <f>IF(B263="east",1,0)</f>
        <v>0</v>
      </c>
      <c r="D263" t="s">
        <v>24</v>
      </c>
      <c r="E263">
        <f>IF(D263="Guard",1,0)</f>
        <v>0</v>
      </c>
      <c r="F263">
        <f>IF(D263="Forward",1,0)</f>
        <v>1</v>
      </c>
      <c r="G263">
        <v>35</v>
      </c>
      <c r="H263">
        <v>68</v>
      </c>
      <c r="I263">
        <v>27.5</v>
      </c>
      <c r="J263">
        <v>5.5</v>
      </c>
      <c r="K263">
        <v>5.5</v>
      </c>
      <c r="L263">
        <v>8.4</v>
      </c>
      <c r="M263" s="1">
        <v>25892857</v>
      </c>
      <c r="N263" s="2">
        <f>IF(O263="US",1,0)</f>
        <v>1</v>
      </c>
      <c r="O263" t="s">
        <v>21</v>
      </c>
    </row>
    <row r="264" spans="1:15">
      <c r="A264" t="s">
        <v>284</v>
      </c>
      <c r="B264" t="s">
        <v>16</v>
      </c>
      <c r="C264">
        <f>IF(B264="east",1,0)</f>
        <v>0</v>
      </c>
      <c r="D264" t="s">
        <v>17</v>
      </c>
      <c r="E264">
        <f>IF(D264="Guard",1,0)</f>
        <v>1</v>
      </c>
      <c r="F264">
        <f>IF(D264="Forward",1,0)</f>
        <v>0</v>
      </c>
      <c r="G264">
        <v>32</v>
      </c>
      <c r="H264">
        <v>51</v>
      </c>
      <c r="I264">
        <v>21.3</v>
      </c>
      <c r="J264">
        <v>2.5</v>
      </c>
      <c r="K264">
        <v>2.7</v>
      </c>
      <c r="L264">
        <v>8.4</v>
      </c>
      <c r="M264" s="1">
        <v>21621500</v>
      </c>
      <c r="N264" s="2">
        <f>IF(O264="US",1,0)</f>
        <v>1</v>
      </c>
      <c r="O264" t="s">
        <v>21</v>
      </c>
    </row>
    <row r="265" spans="1:15">
      <c r="A265" t="s">
        <v>285</v>
      </c>
      <c r="B265" t="s">
        <v>16</v>
      </c>
      <c r="C265">
        <f>IF(B265="east",1,0)</f>
        <v>0</v>
      </c>
      <c r="D265" t="s">
        <v>17</v>
      </c>
      <c r="E265">
        <f>IF(D265="Guard",1,0)</f>
        <v>1</v>
      </c>
      <c r="F265">
        <f>IF(D265="Forward",1,0)</f>
        <v>0</v>
      </c>
      <c r="G265">
        <v>29</v>
      </c>
      <c r="H265">
        <v>78</v>
      </c>
      <c r="I265">
        <v>21.6</v>
      </c>
      <c r="J265">
        <v>2.2999999999999998</v>
      </c>
      <c r="K265">
        <v>2.2000000000000002</v>
      </c>
      <c r="L265">
        <v>8.4</v>
      </c>
      <c r="M265" s="1">
        <v>11000000</v>
      </c>
      <c r="N265" s="2">
        <f>IF(O265="US",1,0)</f>
        <v>1</v>
      </c>
      <c r="O265" t="s">
        <v>21</v>
      </c>
    </row>
    <row r="266" spans="1:15">
      <c r="A266" t="s">
        <v>286</v>
      </c>
      <c r="B266" t="s">
        <v>16</v>
      </c>
      <c r="C266">
        <f>IF(B266="east",1,0)</f>
        <v>0</v>
      </c>
      <c r="D266" t="s">
        <v>24</v>
      </c>
      <c r="E266">
        <f>IF(D266="Guard",1,0)</f>
        <v>0</v>
      </c>
      <c r="F266">
        <f>IF(D266="Forward",1,0)</f>
        <v>1</v>
      </c>
      <c r="G266">
        <v>26</v>
      </c>
      <c r="H266">
        <v>69</v>
      </c>
      <c r="I266">
        <v>26.8</v>
      </c>
      <c r="J266">
        <v>3.6</v>
      </c>
      <c r="K266">
        <v>1.2</v>
      </c>
      <c r="L266">
        <v>8.3000000000000007</v>
      </c>
      <c r="M266" s="1">
        <v>17722222</v>
      </c>
      <c r="N266" s="2">
        <f>IF(O266="US",1,0)</f>
        <v>0</v>
      </c>
      <c r="O266" t="s">
        <v>18</v>
      </c>
    </row>
    <row r="267" spans="1:15">
      <c r="A267" t="s">
        <v>287</v>
      </c>
      <c r="B267" t="s">
        <v>16</v>
      </c>
      <c r="C267">
        <f>IF(B267="east",1,0)</f>
        <v>0</v>
      </c>
      <c r="D267" t="s">
        <v>29</v>
      </c>
      <c r="E267">
        <f>IF(D267="Guard",1,0)</f>
        <v>0</v>
      </c>
      <c r="F267">
        <f>IF(D267="Forward",1,0)</f>
        <v>0</v>
      </c>
      <c r="G267">
        <v>39</v>
      </c>
      <c r="H267">
        <v>45</v>
      </c>
      <c r="I267">
        <v>21.5</v>
      </c>
      <c r="J267">
        <v>4.9000000000000004</v>
      </c>
      <c r="K267">
        <v>2.6</v>
      </c>
      <c r="L267">
        <v>8.3000000000000007</v>
      </c>
      <c r="M267" s="1">
        <v>5685000</v>
      </c>
      <c r="N267" s="2">
        <f>IF(O267="US",1,0)</f>
        <v>0</v>
      </c>
      <c r="O267" t="s">
        <v>18</v>
      </c>
    </row>
    <row r="268" spans="1:15">
      <c r="A268" t="s">
        <v>288</v>
      </c>
      <c r="B268" t="s">
        <v>16</v>
      </c>
      <c r="C268">
        <f>IF(B268="east",1,0)</f>
        <v>0</v>
      </c>
      <c r="D268" t="s">
        <v>17</v>
      </c>
      <c r="E268">
        <f>IF(D268="Guard",1,0)</f>
        <v>1</v>
      </c>
      <c r="F268">
        <f>IF(D268="Forward",1,0)</f>
        <v>0</v>
      </c>
      <c r="G268">
        <v>21</v>
      </c>
      <c r="H268">
        <v>67</v>
      </c>
      <c r="I268">
        <v>17.3</v>
      </c>
      <c r="J268">
        <v>2</v>
      </c>
      <c r="K268">
        <v>1.3</v>
      </c>
      <c r="L268">
        <v>8.3000000000000007</v>
      </c>
      <c r="M268" s="1">
        <v>4221360</v>
      </c>
      <c r="N268" s="2">
        <f>IF(O268="US",1,0)</f>
        <v>1</v>
      </c>
      <c r="O268" t="s">
        <v>21</v>
      </c>
    </row>
    <row r="269" spans="1:15">
      <c r="A269" t="s">
        <v>289</v>
      </c>
      <c r="B269" t="s">
        <v>16</v>
      </c>
      <c r="C269">
        <f>IF(B269="east",1,0)</f>
        <v>0</v>
      </c>
      <c r="D269" t="s">
        <v>24</v>
      </c>
      <c r="E269">
        <f>IF(D269="Guard",1,0)</f>
        <v>0</v>
      </c>
      <c r="F269">
        <f>IF(D269="Forward",1,0)</f>
        <v>1</v>
      </c>
      <c r="G269">
        <v>25</v>
      </c>
      <c r="H269">
        <v>3</v>
      </c>
      <c r="I269">
        <v>27.3</v>
      </c>
      <c r="J269">
        <v>7.7</v>
      </c>
      <c r="K269">
        <v>1.3</v>
      </c>
      <c r="L269">
        <v>8.3000000000000007</v>
      </c>
      <c r="M269" s="1">
        <v>146307</v>
      </c>
      <c r="N269" s="2">
        <f>IF(O269="US",1,0)</f>
        <v>1</v>
      </c>
      <c r="O269" t="s">
        <v>21</v>
      </c>
    </row>
    <row r="270" spans="1:15">
      <c r="A270" t="s">
        <v>290</v>
      </c>
      <c r="B270" t="s">
        <v>23</v>
      </c>
      <c r="C270">
        <f>IF(B270="east",1,0)</f>
        <v>1</v>
      </c>
      <c r="D270" t="s">
        <v>17</v>
      </c>
      <c r="E270">
        <f>IF(D270="Guard",1,0)</f>
        <v>1</v>
      </c>
      <c r="F270">
        <f>IF(D270="Forward",1,0)</f>
        <v>0</v>
      </c>
      <c r="G270">
        <v>24</v>
      </c>
      <c r="H270">
        <v>3</v>
      </c>
      <c r="I270">
        <v>22.3</v>
      </c>
      <c r="J270">
        <v>3.3</v>
      </c>
      <c r="K270">
        <v>2.7</v>
      </c>
      <c r="L270">
        <v>8.3000000000000007</v>
      </c>
      <c r="M270" s="1">
        <v>73153</v>
      </c>
      <c r="N270" s="2">
        <f>IF(O270="US",1,0)</f>
        <v>1</v>
      </c>
      <c r="O270" t="s">
        <v>21</v>
      </c>
    </row>
    <row r="271" spans="1:15">
      <c r="A271" t="s">
        <v>291</v>
      </c>
      <c r="B271" t="s">
        <v>23</v>
      </c>
      <c r="C271">
        <f>IF(B271="east",1,0)</f>
        <v>1</v>
      </c>
      <c r="D271" t="s">
        <v>17</v>
      </c>
      <c r="E271">
        <f>IF(D271="Guard",1,0)</f>
        <v>1</v>
      </c>
      <c r="F271">
        <f>IF(D271="Forward",1,0)</f>
        <v>0</v>
      </c>
      <c r="G271">
        <v>26</v>
      </c>
      <c r="H271">
        <v>15</v>
      </c>
      <c r="I271">
        <v>23.9</v>
      </c>
      <c r="J271">
        <v>3.4</v>
      </c>
      <c r="K271">
        <v>3.3</v>
      </c>
      <c r="L271">
        <v>8.3000000000000007</v>
      </c>
      <c r="M271" s="1">
        <v>65838</v>
      </c>
      <c r="N271" s="2">
        <f>IF(O271="US",1,0)</f>
        <v>1</v>
      </c>
      <c r="O271" t="s">
        <v>21</v>
      </c>
    </row>
    <row r="272" spans="1:15">
      <c r="A272" t="s">
        <v>292</v>
      </c>
      <c r="B272" t="s">
        <v>23</v>
      </c>
      <c r="C272">
        <f>IF(B272="east",1,0)</f>
        <v>1</v>
      </c>
      <c r="D272" t="s">
        <v>24</v>
      </c>
      <c r="E272">
        <f>IF(D272="Guard",1,0)</f>
        <v>0</v>
      </c>
      <c r="F272">
        <f>IF(D272="Forward",1,0)</f>
        <v>1</v>
      </c>
      <c r="G272">
        <v>20</v>
      </c>
      <c r="H272">
        <v>78</v>
      </c>
      <c r="I272">
        <v>19.899999999999999</v>
      </c>
      <c r="J272">
        <v>4</v>
      </c>
      <c r="K272">
        <v>1.2</v>
      </c>
      <c r="L272">
        <v>8.1999999999999993</v>
      </c>
      <c r="M272" s="1">
        <v>8657280</v>
      </c>
      <c r="N272" s="2">
        <f>IF(O272="US",1,0)</f>
        <v>1</v>
      </c>
      <c r="O272" t="s">
        <v>21</v>
      </c>
    </row>
    <row r="273" spans="1:15">
      <c r="A273" t="s">
        <v>293</v>
      </c>
      <c r="B273" t="s">
        <v>16</v>
      </c>
      <c r="C273">
        <f>IF(B273="east",1,0)</f>
        <v>0</v>
      </c>
      <c r="D273" t="s">
        <v>24</v>
      </c>
      <c r="E273">
        <f>IF(D273="Guard",1,0)</f>
        <v>0</v>
      </c>
      <c r="F273">
        <f>IF(D273="Forward",1,0)</f>
        <v>1</v>
      </c>
      <c r="G273">
        <v>24</v>
      </c>
      <c r="H273">
        <v>82</v>
      </c>
      <c r="I273">
        <v>25.1</v>
      </c>
      <c r="J273">
        <v>4</v>
      </c>
      <c r="K273">
        <v>1.8</v>
      </c>
      <c r="L273">
        <v>8.1999999999999993</v>
      </c>
      <c r="M273" s="1">
        <v>6000000</v>
      </c>
      <c r="N273" s="2">
        <f>IF(O273="US",1,0)</f>
        <v>1</v>
      </c>
      <c r="O273" t="s">
        <v>21</v>
      </c>
    </row>
    <row r="274" spans="1:15">
      <c r="A274" t="s">
        <v>294</v>
      </c>
      <c r="B274" t="s">
        <v>16</v>
      </c>
      <c r="C274">
        <f>IF(B274="east",1,0)</f>
        <v>0</v>
      </c>
      <c r="D274" t="s">
        <v>17</v>
      </c>
      <c r="E274">
        <f>IF(D274="Guard",1,0)</f>
        <v>1</v>
      </c>
      <c r="F274">
        <f>IF(D274="Forward",1,0)</f>
        <v>0</v>
      </c>
      <c r="G274">
        <v>32</v>
      </c>
      <c r="H274">
        <v>6</v>
      </c>
      <c r="I274">
        <v>20.2</v>
      </c>
      <c r="J274">
        <v>0.8</v>
      </c>
      <c r="K274">
        <v>1.7</v>
      </c>
      <c r="L274">
        <v>8.1999999999999993</v>
      </c>
      <c r="M274" s="1">
        <v>5354000</v>
      </c>
      <c r="N274" s="2">
        <f>IF(O274="US",1,0)</f>
        <v>1</v>
      </c>
      <c r="O274" t="s">
        <v>21</v>
      </c>
    </row>
    <row r="275" spans="1:15">
      <c r="A275" t="s">
        <v>295</v>
      </c>
      <c r="B275" t="s">
        <v>23</v>
      </c>
      <c r="C275">
        <f>IF(B275="east",1,0)</f>
        <v>1</v>
      </c>
      <c r="D275" t="s">
        <v>24</v>
      </c>
      <c r="E275">
        <f>IF(D275="Guard",1,0)</f>
        <v>0</v>
      </c>
      <c r="F275">
        <f>IF(D275="Forward",1,0)</f>
        <v>1</v>
      </c>
      <c r="G275">
        <v>23</v>
      </c>
      <c r="H275">
        <v>17</v>
      </c>
      <c r="I275">
        <v>20.5</v>
      </c>
      <c r="J275">
        <v>4.5999999999999996</v>
      </c>
      <c r="K275">
        <v>2.1</v>
      </c>
      <c r="L275">
        <v>8.1999999999999993</v>
      </c>
      <c r="M275" s="1">
        <v>636435</v>
      </c>
      <c r="N275" s="2">
        <f>IF(O275="US",1,0)</f>
        <v>1</v>
      </c>
      <c r="O275" t="s">
        <v>21</v>
      </c>
    </row>
    <row r="276" spans="1:15">
      <c r="A276" t="s">
        <v>296</v>
      </c>
      <c r="B276" t="s">
        <v>16</v>
      </c>
      <c r="C276">
        <f>IF(B276="east",1,0)</f>
        <v>0</v>
      </c>
      <c r="D276" t="s">
        <v>17</v>
      </c>
      <c r="E276">
        <f>IF(D276="Guard",1,0)</f>
        <v>1</v>
      </c>
      <c r="F276">
        <f>IF(D276="Forward",1,0)</f>
        <v>0</v>
      </c>
      <c r="G276">
        <v>24</v>
      </c>
      <c r="H276">
        <v>18</v>
      </c>
      <c r="I276">
        <v>16.2</v>
      </c>
      <c r="J276">
        <v>1.6</v>
      </c>
      <c r="K276">
        <v>1</v>
      </c>
      <c r="L276">
        <v>8.1999999999999993</v>
      </c>
      <c r="M276" s="1">
        <v>85300</v>
      </c>
      <c r="N276" s="2">
        <f>IF(O276="US",1,0)</f>
        <v>1</v>
      </c>
      <c r="O276" t="s">
        <v>21</v>
      </c>
    </row>
    <row r="277" spans="1:15">
      <c r="A277" t="s">
        <v>297</v>
      </c>
      <c r="B277" t="s">
        <v>23</v>
      </c>
      <c r="C277">
        <f>IF(B277="east",1,0)</f>
        <v>1</v>
      </c>
      <c r="D277" t="s">
        <v>17</v>
      </c>
      <c r="E277">
        <f>IF(D277="Guard",1,0)</f>
        <v>1</v>
      </c>
      <c r="F277">
        <f>IF(D277="Forward",1,0)</f>
        <v>0</v>
      </c>
      <c r="G277">
        <v>27</v>
      </c>
      <c r="H277">
        <v>65</v>
      </c>
      <c r="I277">
        <v>21.2</v>
      </c>
      <c r="J277">
        <v>1</v>
      </c>
      <c r="K277">
        <v>1.2</v>
      </c>
      <c r="L277">
        <v>8.1</v>
      </c>
      <c r="M277" s="1">
        <v>3697105</v>
      </c>
      <c r="N277" s="2">
        <f>IF(O277="US",1,0)</f>
        <v>1</v>
      </c>
      <c r="O277" t="s">
        <v>21</v>
      </c>
    </row>
    <row r="278" spans="1:15">
      <c r="A278" t="s">
        <v>298</v>
      </c>
      <c r="B278" t="s">
        <v>23</v>
      </c>
      <c r="C278">
        <f>IF(B278="east",1,0)</f>
        <v>1</v>
      </c>
      <c r="D278" t="s">
        <v>29</v>
      </c>
      <c r="E278">
        <f>IF(D278="Guard",1,0)</f>
        <v>0</v>
      </c>
      <c r="F278">
        <f>IF(D278="Forward",1,0)</f>
        <v>0</v>
      </c>
      <c r="G278">
        <v>27</v>
      </c>
      <c r="H278">
        <v>69</v>
      </c>
      <c r="I278">
        <v>16.2</v>
      </c>
      <c r="J278">
        <v>4.0999999999999996</v>
      </c>
      <c r="K278">
        <v>1</v>
      </c>
      <c r="L278">
        <v>8.1</v>
      </c>
      <c r="M278" s="1">
        <v>2461463</v>
      </c>
      <c r="N278" s="2">
        <f>IF(O278="US",1,0)</f>
        <v>1</v>
      </c>
      <c r="O278" t="s">
        <v>21</v>
      </c>
    </row>
    <row r="279" spans="1:15">
      <c r="A279" t="s">
        <v>299</v>
      </c>
      <c r="B279" t="s">
        <v>16</v>
      </c>
      <c r="C279">
        <f>IF(B279="east",1,0)</f>
        <v>0</v>
      </c>
      <c r="D279" t="s">
        <v>17</v>
      </c>
      <c r="E279">
        <f>IF(D279="Guard",1,0)</f>
        <v>1</v>
      </c>
      <c r="F279">
        <f>IF(D279="Forward",1,0)</f>
        <v>0</v>
      </c>
      <c r="G279">
        <v>23</v>
      </c>
      <c r="H279">
        <v>42</v>
      </c>
      <c r="I279">
        <v>21</v>
      </c>
      <c r="J279">
        <v>2.1</v>
      </c>
      <c r="K279">
        <v>1.5</v>
      </c>
      <c r="L279">
        <v>8.1</v>
      </c>
      <c r="M279" s="1">
        <v>724598</v>
      </c>
      <c r="N279" s="2">
        <f>IF(O279="US",1,0)</f>
        <v>1</v>
      </c>
      <c r="O279" t="s">
        <v>21</v>
      </c>
    </row>
    <row r="280" spans="1:15">
      <c r="A280" t="s">
        <v>300</v>
      </c>
      <c r="B280" t="s">
        <v>23</v>
      </c>
      <c r="C280">
        <f>IF(B280="east",1,0)</f>
        <v>1</v>
      </c>
      <c r="D280" t="s">
        <v>17</v>
      </c>
      <c r="E280">
        <f>IF(D280="Guard",1,0)</f>
        <v>1</v>
      </c>
      <c r="F280">
        <f>IF(D280="Forward",1,0)</f>
        <v>0</v>
      </c>
      <c r="G280">
        <v>24</v>
      </c>
      <c r="H280">
        <v>41</v>
      </c>
      <c r="I280">
        <v>17.100000000000001</v>
      </c>
      <c r="J280">
        <v>2.1</v>
      </c>
      <c r="K280">
        <v>3</v>
      </c>
      <c r="L280">
        <v>8.1</v>
      </c>
      <c r="M280" s="1">
        <v>85300</v>
      </c>
      <c r="N280" s="2">
        <f>IF(O280="US",1,0)</f>
        <v>1</v>
      </c>
      <c r="O280" t="s">
        <v>21</v>
      </c>
    </row>
    <row r="281" spans="1:15">
      <c r="A281" t="s">
        <v>301</v>
      </c>
      <c r="B281" t="s">
        <v>16</v>
      </c>
      <c r="C281">
        <f>IF(B281="east",1,0)</f>
        <v>0</v>
      </c>
      <c r="D281" t="s">
        <v>17</v>
      </c>
      <c r="E281">
        <f>IF(D281="Guard",1,0)</f>
        <v>1</v>
      </c>
      <c r="F281">
        <f>IF(D281="Forward",1,0)</f>
        <v>0</v>
      </c>
      <c r="G281">
        <v>22</v>
      </c>
      <c r="H281">
        <v>15</v>
      </c>
      <c r="I281">
        <v>32.799999999999997</v>
      </c>
      <c r="J281">
        <v>3.8</v>
      </c>
      <c r="K281">
        <v>4.0999999999999996</v>
      </c>
      <c r="L281">
        <v>8.1</v>
      </c>
      <c r="M281" s="1">
        <v>73153</v>
      </c>
      <c r="N281" s="2">
        <f>IF(O281="US",1,0)</f>
        <v>1</v>
      </c>
      <c r="O281" t="s">
        <v>21</v>
      </c>
    </row>
    <row r="282" spans="1:15">
      <c r="A282" t="s">
        <v>302</v>
      </c>
      <c r="B282" t="s">
        <v>23</v>
      </c>
      <c r="C282">
        <f>IF(B282="east",1,0)</f>
        <v>1</v>
      </c>
      <c r="D282" t="s">
        <v>24</v>
      </c>
      <c r="E282">
        <f>IF(D282="Guard",1,0)</f>
        <v>0</v>
      </c>
      <c r="F282">
        <f>IF(D282="Forward",1,0)</f>
        <v>1</v>
      </c>
      <c r="G282">
        <v>29</v>
      </c>
      <c r="H282">
        <v>6</v>
      </c>
      <c r="I282">
        <v>30.3</v>
      </c>
      <c r="J282">
        <v>5.2</v>
      </c>
      <c r="K282">
        <v>1.7</v>
      </c>
      <c r="L282">
        <v>8</v>
      </c>
      <c r="M282" s="1">
        <v>636435</v>
      </c>
      <c r="N282" s="2">
        <f>IF(O282="US",1,0)</f>
        <v>1</v>
      </c>
      <c r="O282" t="s">
        <v>21</v>
      </c>
    </row>
    <row r="283" spans="1:15">
      <c r="A283" t="s">
        <v>303</v>
      </c>
      <c r="B283" t="s">
        <v>16</v>
      </c>
      <c r="C283">
        <f>IF(B283="east",1,0)</f>
        <v>0</v>
      </c>
      <c r="D283" t="s">
        <v>17</v>
      </c>
      <c r="E283">
        <f>IF(D283="Guard",1,0)</f>
        <v>1</v>
      </c>
      <c r="F283">
        <f>IF(D283="Forward",1,0)</f>
        <v>0</v>
      </c>
      <c r="G283">
        <v>26</v>
      </c>
      <c r="H283">
        <v>14</v>
      </c>
      <c r="I283">
        <v>17.100000000000001</v>
      </c>
      <c r="J283">
        <v>2.1</v>
      </c>
      <c r="K283">
        <v>1</v>
      </c>
      <c r="L283">
        <v>8</v>
      </c>
      <c r="M283" s="1">
        <v>636435</v>
      </c>
      <c r="N283" s="2">
        <f>IF(O283="US",1,0)</f>
        <v>1</v>
      </c>
      <c r="O283" t="s">
        <v>21</v>
      </c>
    </row>
    <row r="284" spans="1:15">
      <c r="A284" t="s">
        <v>304</v>
      </c>
      <c r="B284" t="s">
        <v>16</v>
      </c>
      <c r="C284">
        <f>IF(B284="east",1,0)</f>
        <v>0</v>
      </c>
      <c r="D284" t="s">
        <v>24</v>
      </c>
      <c r="E284">
        <f>IF(D284="Guard",1,0)</f>
        <v>0</v>
      </c>
      <c r="F284">
        <f>IF(D284="Forward",1,0)</f>
        <v>1</v>
      </c>
      <c r="G284">
        <v>24</v>
      </c>
      <c r="H284">
        <v>5</v>
      </c>
      <c r="I284">
        <v>14.6</v>
      </c>
      <c r="J284">
        <v>4</v>
      </c>
      <c r="K284">
        <v>0.8</v>
      </c>
      <c r="L284">
        <v>8</v>
      </c>
      <c r="M284" s="1">
        <v>146307</v>
      </c>
      <c r="N284" s="2">
        <f>IF(O284="US",1,0)</f>
        <v>1</v>
      </c>
      <c r="O284" t="s">
        <v>21</v>
      </c>
    </row>
    <row r="285" spans="1:15">
      <c r="A285" t="s">
        <v>305</v>
      </c>
      <c r="B285" t="s">
        <v>16</v>
      </c>
      <c r="C285">
        <f>IF(B285="east",1,0)</f>
        <v>0</v>
      </c>
      <c r="D285" t="s">
        <v>17</v>
      </c>
      <c r="E285">
        <f>IF(D285="Guard",1,0)</f>
        <v>1</v>
      </c>
      <c r="F285">
        <f>IF(D285="Forward",1,0)</f>
        <v>0</v>
      </c>
      <c r="G285">
        <v>28</v>
      </c>
      <c r="H285">
        <v>11</v>
      </c>
      <c r="I285">
        <v>21</v>
      </c>
      <c r="J285">
        <v>4.5999999999999996</v>
      </c>
      <c r="K285">
        <v>3.3</v>
      </c>
      <c r="L285">
        <v>8</v>
      </c>
      <c r="M285" s="1">
        <v>131970</v>
      </c>
      <c r="N285" s="2">
        <f>IF(O285="US",1,0)</f>
        <v>1</v>
      </c>
      <c r="O285" t="s">
        <v>21</v>
      </c>
    </row>
    <row r="286" spans="1:15">
      <c r="A286" t="s">
        <v>306</v>
      </c>
      <c r="B286" t="s">
        <v>23</v>
      </c>
      <c r="C286">
        <f>IF(B286="east",1,0)</f>
        <v>1</v>
      </c>
      <c r="D286" t="s">
        <v>24</v>
      </c>
      <c r="E286">
        <f>IF(D286="Guard",1,0)</f>
        <v>0</v>
      </c>
      <c r="F286">
        <f>IF(D286="Forward",1,0)</f>
        <v>1</v>
      </c>
      <c r="G286">
        <v>27</v>
      </c>
      <c r="H286">
        <v>2</v>
      </c>
      <c r="I286">
        <v>22.5</v>
      </c>
      <c r="J286">
        <v>3</v>
      </c>
      <c r="K286">
        <v>3</v>
      </c>
      <c r="L286">
        <v>8</v>
      </c>
      <c r="M286" s="1">
        <v>47092</v>
      </c>
      <c r="N286" s="2">
        <f>IF(O286="US",1,0)</f>
        <v>1</v>
      </c>
      <c r="O286" t="s">
        <v>21</v>
      </c>
    </row>
    <row r="287" spans="1:15">
      <c r="A287" t="s">
        <v>307</v>
      </c>
      <c r="B287" t="s">
        <v>16</v>
      </c>
      <c r="C287">
        <f>IF(B287="east",1,0)</f>
        <v>0</v>
      </c>
      <c r="D287" t="s">
        <v>17</v>
      </c>
      <c r="E287">
        <f>IF(D287="Guard",1,0)</f>
        <v>1</v>
      </c>
      <c r="F287">
        <f>IF(D287="Forward",1,0)</f>
        <v>0</v>
      </c>
      <c r="G287">
        <v>29</v>
      </c>
      <c r="H287">
        <v>82</v>
      </c>
      <c r="I287">
        <v>24.4</v>
      </c>
      <c r="J287">
        <v>3.9</v>
      </c>
      <c r="K287">
        <v>2.1</v>
      </c>
      <c r="L287">
        <v>7.9</v>
      </c>
      <c r="M287" s="1">
        <v>3080921</v>
      </c>
      <c r="N287" s="2">
        <f>IF(O287="US",1,0)</f>
        <v>1</v>
      </c>
      <c r="O287" t="s">
        <v>21</v>
      </c>
    </row>
    <row r="288" spans="1:15">
      <c r="A288" t="s">
        <v>308</v>
      </c>
      <c r="B288" t="s">
        <v>23</v>
      </c>
      <c r="C288">
        <f>IF(B288="east",1,0)</f>
        <v>1</v>
      </c>
      <c r="D288" t="s">
        <v>29</v>
      </c>
      <c r="E288">
        <f>IF(D288="Guard",1,0)</f>
        <v>0</v>
      </c>
      <c r="F288">
        <f>IF(D288="Forward",1,0)</f>
        <v>0</v>
      </c>
      <c r="G288">
        <v>24</v>
      </c>
      <c r="H288">
        <v>73</v>
      </c>
      <c r="I288">
        <v>26</v>
      </c>
      <c r="J288">
        <v>8.6999999999999993</v>
      </c>
      <c r="K288">
        <v>1.9</v>
      </c>
      <c r="L288">
        <v>7.9</v>
      </c>
      <c r="M288" s="1">
        <v>2270735</v>
      </c>
      <c r="N288" s="2">
        <f>IF(O288="US",1,0)</f>
        <v>0</v>
      </c>
      <c r="O288" t="s">
        <v>18</v>
      </c>
    </row>
    <row r="289" spans="1:15">
      <c r="A289" t="s">
        <v>309</v>
      </c>
      <c r="B289" t="s">
        <v>23</v>
      </c>
      <c r="C289">
        <f>IF(B289="east",1,0)</f>
        <v>1</v>
      </c>
      <c r="D289" t="s">
        <v>17</v>
      </c>
      <c r="E289">
        <f>IF(D289="Guard",1,0)</f>
        <v>1</v>
      </c>
      <c r="F289">
        <f>IF(D289="Forward",1,0)</f>
        <v>0</v>
      </c>
      <c r="G289">
        <v>26</v>
      </c>
      <c r="H289">
        <v>24</v>
      </c>
      <c r="I289">
        <v>15.8</v>
      </c>
      <c r="J289">
        <v>1.1000000000000001</v>
      </c>
      <c r="K289">
        <v>1.7</v>
      </c>
      <c r="L289">
        <v>7.9</v>
      </c>
      <c r="M289" s="1">
        <v>85300</v>
      </c>
      <c r="N289" s="2">
        <f>IF(O289="US",1,0)</f>
        <v>1</v>
      </c>
      <c r="O289" t="s">
        <v>21</v>
      </c>
    </row>
    <row r="290" spans="1:15">
      <c r="A290" t="s">
        <v>310</v>
      </c>
      <c r="B290" t="s">
        <v>23</v>
      </c>
      <c r="C290">
        <f>IF(B290="east",1,0)</f>
        <v>1</v>
      </c>
      <c r="D290" t="s">
        <v>29</v>
      </c>
      <c r="E290">
        <f>IF(D290="Guard",1,0)</f>
        <v>0</v>
      </c>
      <c r="F290">
        <f>IF(D290="Forward",1,0)</f>
        <v>0</v>
      </c>
      <c r="G290">
        <v>26</v>
      </c>
      <c r="H290">
        <v>65</v>
      </c>
      <c r="I290">
        <v>13.9</v>
      </c>
      <c r="J290">
        <v>4.5</v>
      </c>
      <c r="K290">
        <v>1.2</v>
      </c>
      <c r="L290">
        <v>7.8</v>
      </c>
      <c r="M290" s="1">
        <v>5335894</v>
      </c>
      <c r="N290" s="2">
        <f>IF(O290="US",1,0)</f>
        <v>1</v>
      </c>
      <c r="O290" t="s">
        <v>21</v>
      </c>
    </row>
    <row r="291" spans="1:15">
      <c r="A291" t="s">
        <v>311</v>
      </c>
      <c r="B291" t="s">
        <v>16</v>
      </c>
      <c r="C291">
        <f>IF(B291="east",1,0)</f>
        <v>0</v>
      </c>
      <c r="D291" t="s">
        <v>17</v>
      </c>
      <c r="E291">
        <f>IF(D291="Guard",1,0)</f>
        <v>1</v>
      </c>
      <c r="F291">
        <f>IF(D291="Forward",1,0)</f>
        <v>0</v>
      </c>
      <c r="G291">
        <v>22</v>
      </c>
      <c r="H291">
        <v>69</v>
      </c>
      <c r="I291">
        <v>20.399999999999999</v>
      </c>
      <c r="J291">
        <v>2</v>
      </c>
      <c r="K291">
        <v>4</v>
      </c>
      <c r="L291">
        <v>7.8</v>
      </c>
      <c r="M291" s="1">
        <v>3991320</v>
      </c>
      <c r="N291" s="2">
        <f>IF(O291="US",1,0)</f>
        <v>1</v>
      </c>
      <c r="O291" t="s">
        <v>21</v>
      </c>
    </row>
    <row r="292" spans="1:15">
      <c r="A292" t="s">
        <v>312</v>
      </c>
      <c r="B292" t="s">
        <v>23</v>
      </c>
      <c r="C292">
        <f>IF(B292="east",1,0)</f>
        <v>1</v>
      </c>
      <c r="D292" t="s">
        <v>24</v>
      </c>
      <c r="E292">
        <f>IF(D292="Guard",1,0)</f>
        <v>0</v>
      </c>
      <c r="F292">
        <f>IF(D292="Forward",1,0)</f>
        <v>1</v>
      </c>
      <c r="G292">
        <v>22</v>
      </c>
      <c r="H292">
        <v>46</v>
      </c>
      <c r="I292">
        <v>15.6</v>
      </c>
      <c r="J292">
        <v>3.9</v>
      </c>
      <c r="K292">
        <v>0.9</v>
      </c>
      <c r="L292">
        <v>7.8</v>
      </c>
      <c r="M292" s="1">
        <v>2221677</v>
      </c>
      <c r="N292" s="2">
        <f>IF(O292="US",1,0)</f>
        <v>0</v>
      </c>
      <c r="O292" t="s">
        <v>18</v>
      </c>
    </row>
    <row r="293" spans="1:15">
      <c r="A293" t="s">
        <v>313</v>
      </c>
      <c r="B293" t="s">
        <v>16</v>
      </c>
      <c r="C293">
        <f>IF(B293="east",1,0)</f>
        <v>0</v>
      </c>
      <c r="D293" t="s">
        <v>29</v>
      </c>
      <c r="E293">
        <f>IF(D293="Guard",1,0)</f>
        <v>0</v>
      </c>
      <c r="F293">
        <f>IF(D293="Forward",1,0)</f>
        <v>0</v>
      </c>
      <c r="G293">
        <v>26</v>
      </c>
      <c r="H293">
        <v>27</v>
      </c>
      <c r="I293">
        <v>16.600000000000001</v>
      </c>
      <c r="J293">
        <v>6.6</v>
      </c>
      <c r="K293">
        <v>1.2</v>
      </c>
      <c r="L293">
        <v>7.8</v>
      </c>
      <c r="M293" s="1">
        <v>85300</v>
      </c>
      <c r="N293" s="2">
        <f>IF(O293="US",1,0)</f>
        <v>0</v>
      </c>
      <c r="O293" t="s">
        <v>18</v>
      </c>
    </row>
    <row r="294" spans="1:15">
      <c r="A294" t="s">
        <v>314</v>
      </c>
      <c r="B294" t="s">
        <v>23</v>
      </c>
      <c r="C294">
        <f>IF(B294="east",1,0)</f>
        <v>1</v>
      </c>
      <c r="D294" t="s">
        <v>24</v>
      </c>
      <c r="E294">
        <f>IF(D294="Guard",1,0)</f>
        <v>0</v>
      </c>
      <c r="F294">
        <f>IF(D294="Forward",1,0)</f>
        <v>1</v>
      </c>
      <c r="G294">
        <v>22</v>
      </c>
      <c r="H294">
        <v>71</v>
      </c>
      <c r="I294">
        <v>23.8</v>
      </c>
      <c r="J294">
        <v>4.8</v>
      </c>
      <c r="K294">
        <v>1.2</v>
      </c>
      <c r="L294">
        <v>7.7</v>
      </c>
      <c r="M294" s="1">
        <v>3415000</v>
      </c>
      <c r="N294" s="2">
        <f>IF(O294="US",1,0)</f>
        <v>1</v>
      </c>
      <c r="O294" t="s">
        <v>21</v>
      </c>
    </row>
    <row r="295" spans="1:15">
      <c r="A295" t="s">
        <v>315</v>
      </c>
      <c r="B295" t="s">
        <v>16</v>
      </c>
      <c r="C295">
        <f>IF(B295="east",1,0)</f>
        <v>0</v>
      </c>
      <c r="D295" t="s">
        <v>24</v>
      </c>
      <c r="E295">
        <f>IF(D295="Guard",1,0)</f>
        <v>0</v>
      </c>
      <c r="F295">
        <f>IF(D295="Forward",1,0)</f>
        <v>1</v>
      </c>
      <c r="G295">
        <v>25</v>
      </c>
      <c r="H295">
        <v>67</v>
      </c>
      <c r="I295">
        <v>17.3</v>
      </c>
      <c r="J295">
        <v>4</v>
      </c>
      <c r="K295">
        <v>1.4</v>
      </c>
      <c r="L295">
        <v>7.7</v>
      </c>
      <c r="M295" s="1">
        <v>1955377</v>
      </c>
      <c r="N295" s="2">
        <f>IF(O295="US",1,0)</f>
        <v>0</v>
      </c>
      <c r="O295" t="s">
        <v>18</v>
      </c>
    </row>
    <row r="296" spans="1:15">
      <c r="A296" t="s">
        <v>316</v>
      </c>
      <c r="B296" t="s">
        <v>23</v>
      </c>
      <c r="C296">
        <f>IF(B296="east",1,0)</f>
        <v>1</v>
      </c>
      <c r="D296" t="s">
        <v>17</v>
      </c>
      <c r="E296">
        <f>IF(D296="Guard",1,0)</f>
        <v>1</v>
      </c>
      <c r="F296">
        <f>IF(D296="Forward",1,0)</f>
        <v>0</v>
      </c>
      <c r="G296">
        <v>33</v>
      </c>
      <c r="H296">
        <v>51</v>
      </c>
      <c r="I296">
        <v>16.100000000000001</v>
      </c>
      <c r="J296">
        <v>2.2999999999999998</v>
      </c>
      <c r="K296">
        <v>1.4</v>
      </c>
      <c r="L296">
        <v>7.6</v>
      </c>
      <c r="M296" s="1">
        <v>9219512</v>
      </c>
      <c r="N296" s="2">
        <f>IF(O296="US",1,0)</f>
        <v>0</v>
      </c>
      <c r="O296" t="s">
        <v>18</v>
      </c>
    </row>
    <row r="297" spans="1:15">
      <c r="A297" t="s">
        <v>317</v>
      </c>
      <c r="B297" t="s">
        <v>23</v>
      </c>
      <c r="C297">
        <f>IF(B297="east",1,0)</f>
        <v>1</v>
      </c>
      <c r="D297" t="s">
        <v>29</v>
      </c>
      <c r="E297">
        <f>IF(D297="Guard",1,0)</f>
        <v>0</v>
      </c>
      <c r="F297">
        <f>IF(D297="Forward",1,0)</f>
        <v>0</v>
      </c>
      <c r="G297">
        <v>22</v>
      </c>
      <c r="H297">
        <v>57</v>
      </c>
      <c r="I297">
        <v>19.3</v>
      </c>
      <c r="J297">
        <v>3.2</v>
      </c>
      <c r="K297">
        <v>2.4</v>
      </c>
      <c r="L297">
        <v>7.6</v>
      </c>
      <c r="M297" s="1">
        <v>6670882</v>
      </c>
      <c r="N297" s="2">
        <f>IF(O297="US",1,0)</f>
        <v>0</v>
      </c>
      <c r="O297" t="s">
        <v>18</v>
      </c>
    </row>
    <row r="298" spans="1:15">
      <c r="A298" t="s">
        <v>318</v>
      </c>
      <c r="B298" t="s">
        <v>23</v>
      </c>
      <c r="C298">
        <f>IF(B298="east",1,0)</f>
        <v>1</v>
      </c>
      <c r="D298" t="s">
        <v>29</v>
      </c>
      <c r="E298">
        <f>IF(D298="Guard",1,0)</f>
        <v>0</v>
      </c>
      <c r="F298">
        <f>IF(D298="Forward",1,0)</f>
        <v>0</v>
      </c>
      <c r="G298">
        <v>24</v>
      </c>
      <c r="H298">
        <v>69</v>
      </c>
      <c r="I298">
        <v>21.4</v>
      </c>
      <c r="J298">
        <v>5.5</v>
      </c>
      <c r="K298">
        <v>0.8</v>
      </c>
      <c r="L298">
        <v>7.6</v>
      </c>
      <c r="M298" s="1">
        <v>2296274</v>
      </c>
      <c r="N298" s="2">
        <f>IF(O298="US",1,0)</f>
        <v>1</v>
      </c>
      <c r="O298" t="s">
        <v>21</v>
      </c>
    </row>
    <row r="299" spans="1:15">
      <c r="A299" t="s">
        <v>319</v>
      </c>
      <c r="B299" t="s">
        <v>23</v>
      </c>
      <c r="C299">
        <f>IF(B299="east",1,0)</f>
        <v>1</v>
      </c>
      <c r="D299" t="s">
        <v>17</v>
      </c>
      <c r="E299">
        <f>IF(D299="Guard",1,0)</f>
        <v>1</v>
      </c>
      <c r="F299">
        <f>IF(D299="Forward",1,0)</f>
        <v>0</v>
      </c>
      <c r="G299">
        <v>21</v>
      </c>
      <c r="H299">
        <v>72</v>
      </c>
      <c r="I299">
        <v>20.5</v>
      </c>
      <c r="J299">
        <v>2.6</v>
      </c>
      <c r="K299">
        <v>1.2</v>
      </c>
      <c r="L299">
        <v>7.5</v>
      </c>
      <c r="M299" s="1">
        <v>3638160</v>
      </c>
      <c r="N299" s="2">
        <f>IF(O299="US",1,0)</f>
        <v>1</v>
      </c>
      <c r="O299" t="s">
        <v>21</v>
      </c>
    </row>
    <row r="300" spans="1:15">
      <c r="A300" t="s">
        <v>320</v>
      </c>
      <c r="B300" t="s">
        <v>16</v>
      </c>
      <c r="C300">
        <f>IF(B300="east",1,0)</f>
        <v>0</v>
      </c>
      <c r="D300" t="s">
        <v>29</v>
      </c>
      <c r="E300">
        <f>IF(D300="Guard",1,0)</f>
        <v>0</v>
      </c>
      <c r="F300">
        <f>IF(D300="Forward",1,0)</f>
        <v>0</v>
      </c>
      <c r="G300">
        <v>25</v>
      </c>
      <c r="H300">
        <v>66</v>
      </c>
      <c r="I300">
        <v>18.3</v>
      </c>
      <c r="J300">
        <v>4.0999999999999996</v>
      </c>
      <c r="K300">
        <v>0.9</v>
      </c>
      <c r="L300">
        <v>7.5</v>
      </c>
      <c r="M300" s="1">
        <v>3449323</v>
      </c>
      <c r="N300" s="2">
        <f>IF(O300="US",1,0)</f>
        <v>1</v>
      </c>
      <c r="O300" t="s">
        <v>21</v>
      </c>
    </row>
    <row r="301" spans="1:15">
      <c r="A301" t="s">
        <v>321</v>
      </c>
      <c r="B301" t="s">
        <v>16</v>
      </c>
      <c r="C301">
        <f>IF(B301="east",1,0)</f>
        <v>0</v>
      </c>
      <c r="D301" t="s">
        <v>17</v>
      </c>
      <c r="E301">
        <f>IF(D301="Guard",1,0)</f>
        <v>1</v>
      </c>
      <c r="F301">
        <f>IF(D301="Forward",1,0)</f>
        <v>0</v>
      </c>
      <c r="G301">
        <v>33</v>
      </c>
      <c r="H301">
        <v>73</v>
      </c>
      <c r="I301">
        <v>15.6</v>
      </c>
      <c r="J301">
        <v>3.6</v>
      </c>
      <c r="K301">
        <v>1.7</v>
      </c>
      <c r="L301">
        <v>7.5</v>
      </c>
      <c r="M301" s="1">
        <v>3303774</v>
      </c>
      <c r="N301" s="2">
        <f>IF(O301="US",1,0)</f>
        <v>1</v>
      </c>
      <c r="O301" t="s">
        <v>21</v>
      </c>
    </row>
    <row r="302" spans="1:15">
      <c r="A302" t="s">
        <v>322</v>
      </c>
      <c r="B302" t="s">
        <v>23</v>
      </c>
      <c r="C302">
        <f>IF(B302="east",1,0)</f>
        <v>1</v>
      </c>
      <c r="D302" t="s">
        <v>17</v>
      </c>
      <c r="E302">
        <f>IF(D302="Guard",1,0)</f>
        <v>1</v>
      </c>
      <c r="F302">
        <f>IF(D302="Forward",1,0)</f>
        <v>0</v>
      </c>
      <c r="G302">
        <v>19</v>
      </c>
      <c r="H302">
        <v>44</v>
      </c>
      <c r="I302">
        <v>20.8</v>
      </c>
      <c r="J302">
        <v>2.1</v>
      </c>
      <c r="K302">
        <v>3.3</v>
      </c>
      <c r="L302">
        <v>7.5</v>
      </c>
      <c r="M302" s="1">
        <v>2884560</v>
      </c>
      <c r="N302" s="2">
        <f>IF(O302="US",1,0)</f>
        <v>0</v>
      </c>
      <c r="O302" t="s">
        <v>18</v>
      </c>
    </row>
    <row r="303" spans="1:15">
      <c r="A303" t="s">
        <v>323</v>
      </c>
      <c r="B303" t="s">
        <v>16</v>
      </c>
      <c r="C303">
        <f>IF(B303="east",1,0)</f>
        <v>0</v>
      </c>
      <c r="D303" t="s">
        <v>17</v>
      </c>
      <c r="E303">
        <f>IF(D303="Guard",1,0)</f>
        <v>1</v>
      </c>
      <c r="F303">
        <f>IF(D303="Forward",1,0)</f>
        <v>0</v>
      </c>
      <c r="G303">
        <v>33</v>
      </c>
      <c r="H303">
        <v>23</v>
      </c>
      <c r="I303">
        <v>19.7</v>
      </c>
      <c r="J303">
        <v>2.6</v>
      </c>
      <c r="K303">
        <v>2.2000000000000002</v>
      </c>
      <c r="L303">
        <v>7.4</v>
      </c>
      <c r="M303" s="1">
        <v>16020000</v>
      </c>
      <c r="N303" s="2">
        <f>IF(O303="US",1,0)</f>
        <v>0</v>
      </c>
      <c r="O303" t="s">
        <v>18</v>
      </c>
    </row>
    <row r="304" spans="1:15">
      <c r="A304" t="s">
        <v>324</v>
      </c>
      <c r="B304" t="s">
        <v>23</v>
      </c>
      <c r="C304">
        <f>IF(B304="east",1,0)</f>
        <v>1</v>
      </c>
      <c r="D304" t="s">
        <v>17</v>
      </c>
      <c r="E304">
        <f>IF(D304="Guard",1,0)</f>
        <v>1</v>
      </c>
      <c r="F304">
        <f>IF(D304="Forward",1,0)</f>
        <v>0</v>
      </c>
      <c r="G304">
        <v>31</v>
      </c>
      <c r="H304">
        <v>60</v>
      </c>
      <c r="I304">
        <v>19.2</v>
      </c>
      <c r="J304">
        <v>2</v>
      </c>
      <c r="K304">
        <v>2.7</v>
      </c>
      <c r="L304">
        <v>7.4</v>
      </c>
      <c r="M304" s="1">
        <v>14104000</v>
      </c>
      <c r="N304" s="2">
        <f>IF(O304="US",1,0)</f>
        <v>1</v>
      </c>
      <c r="O304" t="s">
        <v>21</v>
      </c>
    </row>
    <row r="305" spans="1:15">
      <c r="A305" t="s">
        <v>325</v>
      </c>
      <c r="B305" t="s">
        <v>16</v>
      </c>
      <c r="C305">
        <f>IF(B305="east",1,0)</f>
        <v>0</v>
      </c>
      <c r="D305" t="s">
        <v>24</v>
      </c>
      <c r="E305">
        <f>IF(D305="Guard",1,0)</f>
        <v>0</v>
      </c>
      <c r="F305">
        <f>IF(D305="Forward",1,0)</f>
        <v>1</v>
      </c>
      <c r="G305">
        <v>22</v>
      </c>
      <c r="H305">
        <v>59</v>
      </c>
      <c r="I305">
        <v>18.899999999999999</v>
      </c>
      <c r="J305">
        <v>3.7</v>
      </c>
      <c r="K305">
        <v>0.9</v>
      </c>
      <c r="L305">
        <v>7.4</v>
      </c>
      <c r="M305" s="1">
        <v>6127080</v>
      </c>
      <c r="N305" s="2">
        <f>IF(O305="US",1,0)</f>
        <v>1</v>
      </c>
      <c r="O305" t="s">
        <v>21</v>
      </c>
    </row>
    <row r="306" spans="1:15">
      <c r="A306" t="s">
        <v>326</v>
      </c>
      <c r="B306" t="s">
        <v>23</v>
      </c>
      <c r="C306">
        <f>IF(B306="east",1,0)</f>
        <v>1</v>
      </c>
      <c r="D306" t="s">
        <v>17</v>
      </c>
      <c r="E306">
        <f>IF(D306="Guard",1,0)</f>
        <v>1</v>
      </c>
      <c r="F306">
        <f>IF(D306="Forward",1,0)</f>
        <v>0</v>
      </c>
      <c r="G306">
        <v>27</v>
      </c>
      <c r="H306">
        <v>69</v>
      </c>
      <c r="I306">
        <v>19.899999999999999</v>
      </c>
      <c r="J306">
        <v>2.5</v>
      </c>
      <c r="K306">
        <v>3.4</v>
      </c>
      <c r="L306">
        <v>7.4</v>
      </c>
      <c r="M306" s="1">
        <v>4500000</v>
      </c>
      <c r="N306" s="2">
        <f>IF(O306="US",1,0)</f>
        <v>1</v>
      </c>
      <c r="O306" t="s">
        <v>21</v>
      </c>
    </row>
    <row r="307" spans="1:15">
      <c r="A307" t="s">
        <v>327</v>
      </c>
      <c r="B307" t="s">
        <v>23</v>
      </c>
      <c r="C307">
        <f>IF(B307="east",1,0)</f>
        <v>1</v>
      </c>
      <c r="D307" t="s">
        <v>24</v>
      </c>
      <c r="E307">
        <f>IF(D307="Guard",1,0)</f>
        <v>0</v>
      </c>
      <c r="F307">
        <f>IF(D307="Forward",1,0)</f>
        <v>1</v>
      </c>
      <c r="G307">
        <v>23</v>
      </c>
      <c r="H307">
        <v>49</v>
      </c>
      <c r="I307">
        <v>17</v>
      </c>
      <c r="J307">
        <v>3.2</v>
      </c>
      <c r="K307">
        <v>0.9</v>
      </c>
      <c r="L307">
        <v>7.4</v>
      </c>
      <c r="M307" s="1">
        <v>2378870</v>
      </c>
      <c r="N307" s="2">
        <f>IF(O307="US",1,0)</f>
        <v>1</v>
      </c>
      <c r="O307" t="s">
        <v>21</v>
      </c>
    </row>
    <row r="308" spans="1:15">
      <c r="A308" t="s">
        <v>328</v>
      </c>
      <c r="B308" t="s">
        <v>23</v>
      </c>
      <c r="C308">
        <f>IF(B308="east",1,0)</f>
        <v>1</v>
      </c>
      <c r="D308" t="s">
        <v>17</v>
      </c>
      <c r="E308">
        <f>IF(D308="Guard",1,0)</f>
        <v>1</v>
      </c>
      <c r="F308">
        <f>IF(D308="Forward",1,0)</f>
        <v>0</v>
      </c>
      <c r="G308">
        <v>24</v>
      </c>
      <c r="H308">
        <v>50</v>
      </c>
      <c r="I308">
        <v>20.6</v>
      </c>
      <c r="J308">
        <v>3.9</v>
      </c>
      <c r="K308">
        <v>1.3</v>
      </c>
      <c r="L308">
        <v>7.4</v>
      </c>
      <c r="M308" s="1">
        <v>1131970</v>
      </c>
      <c r="N308" s="2">
        <f>IF(O308="US",1,0)</f>
        <v>1</v>
      </c>
      <c r="O308" t="s">
        <v>21</v>
      </c>
    </row>
    <row r="309" spans="1:15">
      <c r="A309" t="s">
        <v>329</v>
      </c>
      <c r="B309" t="s">
        <v>23</v>
      </c>
      <c r="C309">
        <f>IF(B309="east",1,0)</f>
        <v>1</v>
      </c>
      <c r="D309" t="s">
        <v>17</v>
      </c>
      <c r="E309">
        <f>IF(D309="Guard",1,0)</f>
        <v>1</v>
      </c>
      <c r="F309">
        <f>IF(D309="Forward",1,0)</f>
        <v>0</v>
      </c>
      <c r="G309">
        <v>31</v>
      </c>
      <c r="H309">
        <v>22</v>
      </c>
      <c r="I309">
        <v>17</v>
      </c>
      <c r="J309">
        <v>2</v>
      </c>
      <c r="K309">
        <v>2.6</v>
      </c>
      <c r="L309">
        <v>7.4</v>
      </c>
      <c r="M309" s="1">
        <v>1127841</v>
      </c>
      <c r="N309" s="2">
        <f>IF(O309="US",1,0)</f>
        <v>1</v>
      </c>
      <c r="O309" t="s">
        <v>21</v>
      </c>
    </row>
    <row r="310" spans="1:15">
      <c r="A310" t="s">
        <v>330</v>
      </c>
      <c r="B310" t="s">
        <v>16</v>
      </c>
      <c r="C310">
        <f>IF(B310="east",1,0)</f>
        <v>0</v>
      </c>
      <c r="D310" t="s">
        <v>17</v>
      </c>
      <c r="E310">
        <f>IF(D310="Guard",1,0)</f>
        <v>1</v>
      </c>
      <c r="F310">
        <f>IF(D310="Forward",1,0)</f>
        <v>0</v>
      </c>
      <c r="G310">
        <v>31</v>
      </c>
      <c r="H310">
        <v>82</v>
      </c>
      <c r="I310">
        <v>27.2</v>
      </c>
      <c r="J310">
        <v>3.3</v>
      </c>
      <c r="K310">
        <v>3.6</v>
      </c>
      <c r="L310">
        <v>7.3</v>
      </c>
      <c r="M310" s="1">
        <v>5426400</v>
      </c>
      <c r="N310" s="2">
        <f>IF(O310="US",1,0)</f>
        <v>1</v>
      </c>
      <c r="O310" t="s">
        <v>21</v>
      </c>
    </row>
    <row r="311" spans="1:15">
      <c r="A311" t="s">
        <v>331</v>
      </c>
      <c r="B311" t="s">
        <v>23</v>
      </c>
      <c r="C311">
        <f>IF(B311="east",1,0)</f>
        <v>1</v>
      </c>
      <c r="D311" t="s">
        <v>24</v>
      </c>
      <c r="E311">
        <f>IF(D311="Guard",1,0)</f>
        <v>0</v>
      </c>
      <c r="F311">
        <f>IF(D311="Forward",1,0)</f>
        <v>1</v>
      </c>
      <c r="G311">
        <v>22</v>
      </c>
      <c r="H311">
        <v>47</v>
      </c>
      <c r="I311">
        <v>17.2</v>
      </c>
      <c r="J311">
        <v>3.3</v>
      </c>
      <c r="K311">
        <v>2.2000000000000002</v>
      </c>
      <c r="L311">
        <v>7.3</v>
      </c>
      <c r="M311" s="1">
        <v>4445417</v>
      </c>
      <c r="N311" s="2">
        <f>IF(O311="US",1,0)</f>
        <v>0</v>
      </c>
      <c r="O311" t="s">
        <v>18</v>
      </c>
    </row>
    <row r="312" spans="1:15">
      <c r="A312" t="s">
        <v>332</v>
      </c>
      <c r="B312" t="s">
        <v>16</v>
      </c>
      <c r="C312">
        <f>IF(B312="east",1,0)</f>
        <v>0</v>
      </c>
      <c r="D312" t="s">
        <v>17</v>
      </c>
      <c r="E312">
        <f>IF(D312="Guard",1,0)</f>
        <v>1</v>
      </c>
      <c r="F312">
        <f>IF(D312="Forward",1,0)</f>
        <v>0</v>
      </c>
      <c r="G312">
        <v>23</v>
      </c>
      <c r="H312">
        <v>68</v>
      </c>
      <c r="I312">
        <v>19.899999999999999</v>
      </c>
      <c r="J312">
        <v>2.2999999999999998</v>
      </c>
      <c r="K312">
        <v>1.6</v>
      </c>
      <c r="L312">
        <v>7.3</v>
      </c>
      <c r="M312" s="1">
        <v>475497</v>
      </c>
      <c r="N312" s="2">
        <f>IF(O312="US",1,0)</f>
        <v>1</v>
      </c>
      <c r="O312" t="s">
        <v>21</v>
      </c>
    </row>
    <row r="313" spans="1:15">
      <c r="A313" t="s">
        <v>333</v>
      </c>
      <c r="B313" t="s">
        <v>23</v>
      </c>
      <c r="C313">
        <f>IF(B313="east",1,0)</f>
        <v>1</v>
      </c>
      <c r="D313" t="s">
        <v>24</v>
      </c>
      <c r="E313">
        <f>IF(D313="Guard",1,0)</f>
        <v>0</v>
      </c>
      <c r="F313">
        <f>IF(D313="Forward",1,0)</f>
        <v>1</v>
      </c>
      <c r="G313">
        <v>26</v>
      </c>
      <c r="H313">
        <v>13</v>
      </c>
      <c r="I313">
        <v>23.9</v>
      </c>
      <c r="J313">
        <v>4.4000000000000004</v>
      </c>
      <c r="K313">
        <v>2.8</v>
      </c>
      <c r="L313">
        <v>7.3</v>
      </c>
      <c r="M313" s="1">
        <v>160938</v>
      </c>
      <c r="N313" s="2">
        <f>IF(O313="US",1,0)</f>
        <v>1</v>
      </c>
      <c r="O313" t="s">
        <v>21</v>
      </c>
    </row>
    <row r="314" spans="1:15">
      <c r="A314" t="s">
        <v>334</v>
      </c>
      <c r="B314" t="s">
        <v>23</v>
      </c>
      <c r="C314">
        <f>IF(B314="east",1,0)</f>
        <v>1</v>
      </c>
      <c r="D314" t="s">
        <v>17</v>
      </c>
      <c r="E314">
        <f>IF(D314="Guard",1,0)</f>
        <v>1</v>
      </c>
      <c r="F314">
        <f>IF(D314="Forward",1,0)</f>
        <v>0</v>
      </c>
      <c r="G314">
        <v>29</v>
      </c>
      <c r="H314">
        <v>63</v>
      </c>
      <c r="I314">
        <v>24.3</v>
      </c>
      <c r="J314">
        <v>3.2</v>
      </c>
      <c r="K314">
        <v>3</v>
      </c>
      <c r="L314">
        <v>7.2</v>
      </c>
      <c r="M314" s="1">
        <v>15500000</v>
      </c>
      <c r="N314" s="2">
        <f>IF(O314="US",1,0)</f>
        <v>1</v>
      </c>
      <c r="O314" t="s">
        <v>21</v>
      </c>
    </row>
    <row r="315" spans="1:15">
      <c r="A315" t="s">
        <v>335</v>
      </c>
      <c r="B315" t="s">
        <v>16</v>
      </c>
      <c r="C315">
        <f>IF(B315="east",1,0)</f>
        <v>0</v>
      </c>
      <c r="D315" t="s">
        <v>24</v>
      </c>
      <c r="E315">
        <f>IF(D315="Guard",1,0)</f>
        <v>0</v>
      </c>
      <c r="F315">
        <f>IF(D315="Forward",1,0)</f>
        <v>1</v>
      </c>
      <c r="G315">
        <v>23</v>
      </c>
      <c r="H315">
        <v>65</v>
      </c>
      <c r="I315">
        <v>19.600000000000001</v>
      </c>
      <c r="J315">
        <v>5.5</v>
      </c>
      <c r="K315">
        <v>2.4</v>
      </c>
      <c r="L315">
        <v>7.2</v>
      </c>
      <c r="M315" s="1">
        <v>8450704</v>
      </c>
      <c r="N315" s="2">
        <f>IF(O315="US",1,0)</f>
        <v>1</v>
      </c>
      <c r="O315" t="s">
        <v>21</v>
      </c>
    </row>
    <row r="316" spans="1:15">
      <c r="A316" t="s">
        <v>336</v>
      </c>
      <c r="B316" t="s">
        <v>16</v>
      </c>
      <c r="C316">
        <f>IF(B316="east",1,0)</f>
        <v>0</v>
      </c>
      <c r="D316" t="s">
        <v>17</v>
      </c>
      <c r="E316">
        <f>IF(D316="Guard",1,0)</f>
        <v>1</v>
      </c>
      <c r="F316">
        <f>IF(D316="Forward",1,0)</f>
        <v>0</v>
      </c>
      <c r="G316">
        <v>23</v>
      </c>
      <c r="H316">
        <v>57</v>
      </c>
      <c r="I316">
        <v>15.1</v>
      </c>
      <c r="J316">
        <v>2</v>
      </c>
      <c r="K316">
        <v>1.1000000000000001</v>
      </c>
      <c r="L316">
        <v>7.2</v>
      </c>
      <c r="M316" s="1">
        <v>2674200</v>
      </c>
      <c r="N316" s="2">
        <f>IF(O316="US",1,0)</f>
        <v>1</v>
      </c>
      <c r="O316" t="s">
        <v>21</v>
      </c>
    </row>
    <row r="317" spans="1:15">
      <c r="A317" t="s">
        <v>337</v>
      </c>
      <c r="B317" t="s">
        <v>16</v>
      </c>
      <c r="C317">
        <f>IF(B317="east",1,0)</f>
        <v>0</v>
      </c>
      <c r="D317" t="s">
        <v>17</v>
      </c>
      <c r="E317">
        <f>IF(D317="Guard",1,0)</f>
        <v>1</v>
      </c>
      <c r="F317">
        <f>IF(D317="Forward",1,0)</f>
        <v>0</v>
      </c>
      <c r="G317">
        <v>29</v>
      </c>
      <c r="H317">
        <v>66</v>
      </c>
      <c r="I317">
        <v>18.600000000000001</v>
      </c>
      <c r="J317">
        <v>2.4</v>
      </c>
      <c r="K317">
        <v>3.5</v>
      </c>
      <c r="L317">
        <v>7.2</v>
      </c>
      <c r="M317" s="1">
        <v>857804</v>
      </c>
      <c r="N317" s="2">
        <f>IF(O317="US",1,0)</f>
        <v>1</v>
      </c>
      <c r="O317" t="s">
        <v>21</v>
      </c>
    </row>
    <row r="318" spans="1:15">
      <c r="A318" t="s">
        <v>338</v>
      </c>
      <c r="B318" t="s">
        <v>23</v>
      </c>
      <c r="C318">
        <f>IF(B318="east",1,0)</f>
        <v>1</v>
      </c>
      <c r="D318" t="s">
        <v>17</v>
      </c>
      <c r="E318">
        <f>IF(D318="Guard",1,0)</f>
        <v>1</v>
      </c>
      <c r="F318">
        <f>IF(D318="Forward",1,0)</f>
        <v>0</v>
      </c>
      <c r="G318">
        <v>24</v>
      </c>
      <c r="H318">
        <v>65</v>
      </c>
      <c r="I318">
        <v>21.4</v>
      </c>
      <c r="J318">
        <v>3</v>
      </c>
      <c r="K318">
        <v>1.8</v>
      </c>
      <c r="L318">
        <v>7.1</v>
      </c>
      <c r="M318" s="1">
        <v>2790720</v>
      </c>
      <c r="N318" s="2">
        <f>IF(O318="US",1,0)</f>
        <v>1</v>
      </c>
      <c r="O318" t="s">
        <v>21</v>
      </c>
    </row>
    <row r="319" spans="1:15">
      <c r="A319" t="s">
        <v>339</v>
      </c>
      <c r="B319" t="s">
        <v>16</v>
      </c>
      <c r="C319">
        <f>IF(B319="east",1,0)</f>
        <v>0</v>
      </c>
      <c r="D319" t="s">
        <v>17</v>
      </c>
      <c r="E319">
        <f>IF(D319="Guard",1,0)</f>
        <v>1</v>
      </c>
      <c r="F319">
        <f>IF(D319="Forward",1,0)</f>
        <v>0</v>
      </c>
      <c r="G319">
        <v>35</v>
      </c>
      <c r="H319">
        <v>10</v>
      </c>
      <c r="I319">
        <v>13.3</v>
      </c>
      <c r="J319">
        <v>1.2</v>
      </c>
      <c r="K319">
        <v>1</v>
      </c>
      <c r="L319">
        <v>7.1</v>
      </c>
      <c r="M319" s="1">
        <v>2777830</v>
      </c>
      <c r="N319" s="2">
        <f>IF(O319="US",1,0)</f>
        <v>1</v>
      </c>
      <c r="O319" t="s">
        <v>21</v>
      </c>
    </row>
    <row r="320" spans="1:15">
      <c r="A320" t="s">
        <v>340</v>
      </c>
      <c r="B320" t="s">
        <v>23</v>
      </c>
      <c r="C320">
        <f>IF(B320="east",1,0)</f>
        <v>1</v>
      </c>
      <c r="D320" t="s">
        <v>24</v>
      </c>
      <c r="E320">
        <f>IF(D320="Guard",1,0)</f>
        <v>0</v>
      </c>
      <c r="F320">
        <f>IF(D320="Forward",1,0)</f>
        <v>1</v>
      </c>
      <c r="G320">
        <v>26</v>
      </c>
      <c r="H320">
        <v>15</v>
      </c>
      <c r="I320">
        <v>28.9</v>
      </c>
      <c r="J320">
        <v>5</v>
      </c>
      <c r="K320">
        <v>1.5</v>
      </c>
      <c r="L320">
        <v>7.1</v>
      </c>
      <c r="M320" s="1">
        <v>186541</v>
      </c>
      <c r="N320" s="2">
        <f>IF(O320="US",1,0)</f>
        <v>1</v>
      </c>
      <c r="O320" t="s">
        <v>21</v>
      </c>
    </row>
    <row r="321" spans="1:15">
      <c r="A321" t="s">
        <v>341</v>
      </c>
      <c r="B321" t="s">
        <v>23</v>
      </c>
      <c r="C321">
        <f>IF(B321="east",1,0)</f>
        <v>1</v>
      </c>
      <c r="D321" t="s">
        <v>24</v>
      </c>
      <c r="E321">
        <f>IF(D321="Guard",1,0)</f>
        <v>0</v>
      </c>
      <c r="F321">
        <f>IF(D321="Forward",1,0)</f>
        <v>1</v>
      </c>
      <c r="G321">
        <v>24</v>
      </c>
      <c r="H321">
        <v>72</v>
      </c>
      <c r="I321">
        <v>20.5</v>
      </c>
      <c r="J321">
        <v>3</v>
      </c>
      <c r="K321">
        <v>1.5</v>
      </c>
      <c r="L321">
        <v>7</v>
      </c>
      <c r="M321" s="1">
        <v>18000000</v>
      </c>
      <c r="N321" s="2">
        <f>IF(O321="US",1,0)</f>
        <v>1</v>
      </c>
      <c r="O321" t="s">
        <v>21</v>
      </c>
    </row>
    <row r="322" spans="1:15">
      <c r="A322" t="s">
        <v>342</v>
      </c>
      <c r="B322" t="s">
        <v>23</v>
      </c>
      <c r="C322">
        <f>IF(B322="east",1,0)</f>
        <v>1</v>
      </c>
      <c r="D322" t="s">
        <v>24</v>
      </c>
      <c r="E322">
        <f>IF(D322="Guard",1,0)</f>
        <v>0</v>
      </c>
      <c r="F322">
        <f>IF(D322="Forward",1,0)</f>
        <v>1</v>
      </c>
      <c r="G322">
        <v>27</v>
      </c>
      <c r="H322">
        <v>36</v>
      </c>
      <c r="I322">
        <v>19.8</v>
      </c>
      <c r="J322">
        <v>3.9</v>
      </c>
      <c r="K322">
        <v>1.6</v>
      </c>
      <c r="L322">
        <v>7</v>
      </c>
      <c r="M322" s="1">
        <v>13645500</v>
      </c>
      <c r="N322" s="2">
        <f>IF(O322="US",1,0)</f>
        <v>1</v>
      </c>
      <c r="O322" t="s">
        <v>21</v>
      </c>
    </row>
    <row r="323" spans="1:15">
      <c r="A323" t="s">
        <v>343</v>
      </c>
      <c r="B323" t="s">
        <v>23</v>
      </c>
      <c r="C323">
        <f>IF(B323="east",1,0)</f>
        <v>1</v>
      </c>
      <c r="D323" t="s">
        <v>17</v>
      </c>
      <c r="E323">
        <f>IF(D323="Guard",1,0)</f>
        <v>1</v>
      </c>
      <c r="F323">
        <f>IF(D323="Forward",1,0)</f>
        <v>0</v>
      </c>
      <c r="G323">
        <v>26</v>
      </c>
      <c r="H323">
        <v>32</v>
      </c>
      <c r="I323">
        <v>20.399999999999999</v>
      </c>
      <c r="J323">
        <v>2.2000000000000002</v>
      </c>
      <c r="K323">
        <v>1.8</v>
      </c>
      <c r="L323">
        <v>7</v>
      </c>
      <c r="M323" s="1">
        <v>636435</v>
      </c>
      <c r="N323" s="2">
        <f>IF(O323="US",1,0)</f>
        <v>1</v>
      </c>
      <c r="O323" t="s">
        <v>21</v>
      </c>
    </row>
    <row r="324" spans="1:15">
      <c r="A324" t="s">
        <v>344</v>
      </c>
      <c r="B324" t="s">
        <v>16</v>
      </c>
      <c r="C324">
        <f>IF(B324="east",1,0)</f>
        <v>0</v>
      </c>
      <c r="D324" t="s">
        <v>29</v>
      </c>
      <c r="E324">
        <f>IF(D324="Guard",1,0)</f>
        <v>0</v>
      </c>
      <c r="F324">
        <f>IF(D324="Forward",1,0)</f>
        <v>0</v>
      </c>
      <c r="G324">
        <v>22</v>
      </c>
      <c r="H324">
        <v>2</v>
      </c>
      <c r="I324">
        <v>24.5</v>
      </c>
      <c r="J324">
        <v>7.5</v>
      </c>
      <c r="K324">
        <v>1.5</v>
      </c>
      <c r="L324">
        <v>7</v>
      </c>
      <c r="M324" s="1">
        <v>87784</v>
      </c>
      <c r="N324" s="2">
        <f>IF(O324="US",1,0)</f>
        <v>1</v>
      </c>
      <c r="O324" t="s">
        <v>21</v>
      </c>
    </row>
    <row r="325" spans="1:15">
      <c r="A325" t="s">
        <v>345</v>
      </c>
      <c r="B325" t="s">
        <v>23</v>
      </c>
      <c r="C325">
        <f>IF(B325="east",1,0)</f>
        <v>1</v>
      </c>
      <c r="D325" t="s">
        <v>29</v>
      </c>
      <c r="E325">
        <f>IF(D325="Guard",1,0)</f>
        <v>0</v>
      </c>
      <c r="F325">
        <f>IF(D325="Forward",1,0)</f>
        <v>0</v>
      </c>
      <c r="G325">
        <v>28</v>
      </c>
      <c r="H325">
        <v>36</v>
      </c>
      <c r="I325">
        <v>11.9</v>
      </c>
      <c r="J325">
        <v>3.2</v>
      </c>
      <c r="K325">
        <v>0.8</v>
      </c>
      <c r="L325">
        <v>6.9</v>
      </c>
      <c r="M325" s="1">
        <v>5000000</v>
      </c>
      <c r="N325" s="2">
        <f>IF(O325="US",1,0)</f>
        <v>0</v>
      </c>
      <c r="O325" t="s">
        <v>18</v>
      </c>
    </row>
    <row r="326" spans="1:15">
      <c r="A326" t="s">
        <v>346</v>
      </c>
      <c r="B326" t="s">
        <v>23</v>
      </c>
      <c r="C326">
        <f>IF(B326="east",1,0)</f>
        <v>1</v>
      </c>
      <c r="D326" t="s">
        <v>17</v>
      </c>
      <c r="E326">
        <f>IF(D326="Guard",1,0)</f>
        <v>1</v>
      </c>
      <c r="F326">
        <f>IF(D326="Forward",1,0)</f>
        <v>0</v>
      </c>
      <c r="G326">
        <v>32</v>
      </c>
      <c r="H326">
        <v>82</v>
      </c>
      <c r="I326">
        <v>17.600000000000001</v>
      </c>
      <c r="J326">
        <v>2.8</v>
      </c>
      <c r="K326">
        <v>0.7</v>
      </c>
      <c r="L326">
        <v>6.9</v>
      </c>
      <c r="M326" s="1">
        <v>2874436</v>
      </c>
      <c r="N326" s="2">
        <f>IF(O326="US",1,0)</f>
        <v>1</v>
      </c>
      <c r="O326" t="s">
        <v>21</v>
      </c>
    </row>
    <row r="327" spans="1:15">
      <c r="A327" t="s">
        <v>347</v>
      </c>
      <c r="B327" t="s">
        <v>23</v>
      </c>
      <c r="C327">
        <f>IF(B327="east",1,0)</f>
        <v>1</v>
      </c>
      <c r="D327" t="s">
        <v>24</v>
      </c>
      <c r="E327">
        <f>IF(D327="Guard",1,0)</f>
        <v>0</v>
      </c>
      <c r="F327">
        <f>IF(D327="Forward",1,0)</f>
        <v>1</v>
      </c>
      <c r="G327">
        <v>25</v>
      </c>
      <c r="H327">
        <v>14</v>
      </c>
      <c r="I327">
        <v>14</v>
      </c>
      <c r="J327">
        <v>2.2999999999999998</v>
      </c>
      <c r="K327">
        <v>1.1000000000000001</v>
      </c>
      <c r="L327">
        <v>6.8</v>
      </c>
      <c r="M327" s="1">
        <v>636435</v>
      </c>
      <c r="N327" s="2">
        <f>IF(O327="US",1,0)</f>
        <v>1</v>
      </c>
      <c r="O327" t="s">
        <v>21</v>
      </c>
    </row>
    <row r="328" spans="1:15">
      <c r="A328" t="s">
        <v>348</v>
      </c>
      <c r="B328" t="s">
        <v>16</v>
      </c>
      <c r="C328">
        <f>IF(B328="east",1,0)</f>
        <v>0</v>
      </c>
      <c r="D328" t="s">
        <v>17</v>
      </c>
      <c r="E328">
        <f>IF(D328="Guard",1,0)</f>
        <v>1</v>
      </c>
      <c r="F328">
        <f>IF(D328="Forward",1,0)</f>
        <v>0</v>
      </c>
      <c r="G328">
        <v>25</v>
      </c>
      <c r="H328">
        <v>26</v>
      </c>
      <c r="I328">
        <v>21</v>
      </c>
      <c r="J328">
        <v>2</v>
      </c>
      <c r="K328">
        <v>2.9</v>
      </c>
      <c r="L328">
        <v>6.8</v>
      </c>
      <c r="M328" s="1">
        <v>636435</v>
      </c>
      <c r="N328" s="2">
        <f>IF(O328="US",1,0)</f>
        <v>1</v>
      </c>
      <c r="O328" t="s">
        <v>21</v>
      </c>
    </row>
    <row r="329" spans="1:15">
      <c r="A329" t="s">
        <v>349</v>
      </c>
      <c r="B329" t="s">
        <v>16</v>
      </c>
      <c r="C329">
        <f>IF(B329="east",1,0)</f>
        <v>0</v>
      </c>
      <c r="D329" t="s">
        <v>29</v>
      </c>
      <c r="E329">
        <f>IF(D329="Guard",1,0)</f>
        <v>0</v>
      </c>
      <c r="F329">
        <f>IF(D329="Forward",1,0)</f>
        <v>0</v>
      </c>
      <c r="G329">
        <v>28</v>
      </c>
      <c r="H329">
        <v>59</v>
      </c>
      <c r="I329">
        <v>17.100000000000001</v>
      </c>
      <c r="J329">
        <v>7</v>
      </c>
      <c r="K329">
        <v>1</v>
      </c>
      <c r="L329">
        <v>6.7</v>
      </c>
      <c r="M329" s="1">
        <v>13285713</v>
      </c>
      <c r="N329" s="2">
        <f>IF(O329="US",1,0)</f>
        <v>1</v>
      </c>
      <c r="O329" t="s">
        <v>21</v>
      </c>
    </row>
    <row r="330" spans="1:15">
      <c r="A330" t="s">
        <v>350</v>
      </c>
      <c r="B330" t="s">
        <v>16</v>
      </c>
      <c r="C330">
        <f>IF(B330="east",1,0)</f>
        <v>0</v>
      </c>
      <c r="D330" t="s">
        <v>29</v>
      </c>
      <c r="E330">
        <f>IF(D330="Guard",1,0)</f>
        <v>0</v>
      </c>
      <c r="F330">
        <f>IF(D330="Forward",1,0)</f>
        <v>0</v>
      </c>
      <c r="G330">
        <v>24</v>
      </c>
      <c r="H330">
        <v>55</v>
      </c>
      <c r="I330">
        <v>16.5</v>
      </c>
      <c r="J330">
        <v>5.3</v>
      </c>
      <c r="K330">
        <v>0.9</v>
      </c>
      <c r="L330">
        <v>6.7</v>
      </c>
      <c r="M330" s="1">
        <v>7600000</v>
      </c>
      <c r="N330" s="2">
        <f>IF(O330="US",1,0)</f>
        <v>1</v>
      </c>
      <c r="O330" t="s">
        <v>21</v>
      </c>
    </row>
    <row r="331" spans="1:15">
      <c r="A331" t="s">
        <v>351</v>
      </c>
      <c r="B331" t="s">
        <v>23</v>
      </c>
      <c r="C331">
        <f>IF(B331="east",1,0)</f>
        <v>1</v>
      </c>
      <c r="D331" t="s">
        <v>17</v>
      </c>
      <c r="E331">
        <f>IF(D331="Guard",1,0)</f>
        <v>1</v>
      </c>
      <c r="F331">
        <f>IF(D331="Forward",1,0)</f>
        <v>0</v>
      </c>
      <c r="G331">
        <v>25</v>
      </c>
      <c r="H331">
        <v>35</v>
      </c>
      <c r="I331">
        <v>15.1</v>
      </c>
      <c r="J331">
        <v>2.5</v>
      </c>
      <c r="K331">
        <v>3.5</v>
      </c>
      <c r="L331">
        <v>6.7</v>
      </c>
      <c r="M331" s="1">
        <v>6367947</v>
      </c>
      <c r="N331" s="2">
        <f>IF(O331="US",1,0)</f>
        <v>1</v>
      </c>
      <c r="O331" t="s">
        <v>21</v>
      </c>
    </row>
    <row r="332" spans="1:15">
      <c r="A332" t="s">
        <v>352</v>
      </c>
      <c r="B332" t="s">
        <v>16</v>
      </c>
      <c r="C332">
        <f>IF(B332="east",1,0)</f>
        <v>0</v>
      </c>
      <c r="D332" t="s">
        <v>24</v>
      </c>
      <c r="E332">
        <f>IF(D332="Guard",1,0)</f>
        <v>0</v>
      </c>
      <c r="F332">
        <f>IF(D332="Forward",1,0)</f>
        <v>1</v>
      </c>
      <c r="G332">
        <v>37</v>
      </c>
      <c r="H332">
        <v>37</v>
      </c>
      <c r="I332">
        <v>16.600000000000001</v>
      </c>
      <c r="J332">
        <v>5.8</v>
      </c>
      <c r="K332">
        <v>1.8</v>
      </c>
      <c r="L332">
        <v>6.7</v>
      </c>
      <c r="M332" s="1">
        <v>4150000</v>
      </c>
      <c r="N332" s="2">
        <f>IF(O332="US",1,0)</f>
        <v>1</v>
      </c>
      <c r="O332" t="s">
        <v>21</v>
      </c>
    </row>
    <row r="333" spans="1:15">
      <c r="A333" t="s">
        <v>353</v>
      </c>
      <c r="B333" t="s">
        <v>23</v>
      </c>
      <c r="C333">
        <f>IF(B333="east",1,0)</f>
        <v>1</v>
      </c>
      <c r="D333" t="s">
        <v>17</v>
      </c>
      <c r="E333">
        <f>IF(D333="Guard",1,0)</f>
        <v>1</v>
      </c>
      <c r="F333">
        <f>IF(D333="Forward",1,0)</f>
        <v>0</v>
      </c>
      <c r="G333">
        <v>26</v>
      </c>
      <c r="H333">
        <v>72</v>
      </c>
      <c r="I333">
        <v>20.5</v>
      </c>
      <c r="J333">
        <v>1.9</v>
      </c>
      <c r="K333">
        <v>1</v>
      </c>
      <c r="L333">
        <v>6.7</v>
      </c>
      <c r="M333" s="1">
        <v>2301587</v>
      </c>
      <c r="N333" s="2">
        <f>IF(O333="US",1,0)</f>
        <v>1</v>
      </c>
      <c r="O333" t="s">
        <v>21</v>
      </c>
    </row>
    <row r="334" spans="1:15">
      <c r="A334" t="s">
        <v>354</v>
      </c>
      <c r="B334" t="s">
        <v>23</v>
      </c>
      <c r="C334">
        <f>IF(B334="east",1,0)</f>
        <v>1</v>
      </c>
      <c r="D334" t="s">
        <v>17</v>
      </c>
      <c r="E334">
        <f>IF(D334="Guard",1,0)</f>
        <v>1</v>
      </c>
      <c r="F334">
        <f>IF(D334="Forward",1,0)</f>
        <v>0</v>
      </c>
      <c r="G334">
        <v>23</v>
      </c>
      <c r="H334">
        <v>82</v>
      </c>
      <c r="I334">
        <v>22.6</v>
      </c>
      <c r="J334">
        <v>1.7</v>
      </c>
      <c r="K334">
        <v>5.4</v>
      </c>
      <c r="L334">
        <v>6.6</v>
      </c>
      <c r="M334" s="1">
        <v>1955377</v>
      </c>
      <c r="N334" s="2">
        <f>IF(O334="US",1,0)</f>
        <v>1</v>
      </c>
      <c r="O334" t="s">
        <v>21</v>
      </c>
    </row>
    <row r="335" spans="1:15">
      <c r="A335" t="s">
        <v>355</v>
      </c>
      <c r="B335" t="s">
        <v>16</v>
      </c>
      <c r="C335">
        <f>IF(B335="east",1,0)</f>
        <v>0</v>
      </c>
      <c r="D335" t="s">
        <v>17</v>
      </c>
      <c r="E335">
        <f>IF(D335="Guard",1,0)</f>
        <v>1</v>
      </c>
      <c r="F335">
        <f>IF(D335="Forward",1,0)</f>
        <v>0</v>
      </c>
      <c r="G335">
        <v>22</v>
      </c>
      <c r="H335">
        <v>60</v>
      </c>
      <c r="I335">
        <v>19.5</v>
      </c>
      <c r="J335">
        <v>2.2000000000000002</v>
      </c>
      <c r="K335">
        <v>5.3</v>
      </c>
      <c r="L335">
        <v>6.6</v>
      </c>
      <c r="M335" s="1">
        <v>321875</v>
      </c>
      <c r="N335" s="2">
        <f>IF(O335="US",1,0)</f>
        <v>0</v>
      </c>
      <c r="O335" t="s">
        <v>18</v>
      </c>
    </row>
    <row r="336" spans="1:15">
      <c r="A336" t="s">
        <v>356</v>
      </c>
      <c r="B336" t="s">
        <v>16</v>
      </c>
      <c r="C336">
        <f>IF(B336="east",1,0)</f>
        <v>0</v>
      </c>
      <c r="D336" t="s">
        <v>29</v>
      </c>
      <c r="E336">
        <f>IF(D336="Guard",1,0)</f>
        <v>0</v>
      </c>
      <c r="F336">
        <f>IF(D336="Forward",1,0)</f>
        <v>0</v>
      </c>
      <c r="G336">
        <v>30</v>
      </c>
      <c r="H336">
        <v>68</v>
      </c>
      <c r="I336">
        <v>21</v>
      </c>
      <c r="J336">
        <v>6.1</v>
      </c>
      <c r="K336">
        <v>1.9</v>
      </c>
      <c r="L336">
        <v>6.5</v>
      </c>
      <c r="M336" s="1">
        <v>11000000</v>
      </c>
      <c r="N336" s="2">
        <f>IF(O336="US",1,0)</f>
        <v>1</v>
      </c>
      <c r="O336" t="s">
        <v>21</v>
      </c>
    </row>
    <row r="337" spans="1:15">
      <c r="A337" t="s">
        <v>357</v>
      </c>
      <c r="B337" t="s">
        <v>16</v>
      </c>
      <c r="C337">
        <f>IF(B337="east",1,0)</f>
        <v>0</v>
      </c>
      <c r="D337" t="s">
        <v>24</v>
      </c>
      <c r="E337">
        <f>IF(D337="Guard",1,0)</f>
        <v>0</v>
      </c>
      <c r="F337">
        <f>IF(D337="Forward",1,0)</f>
        <v>1</v>
      </c>
      <c r="G337">
        <v>31</v>
      </c>
      <c r="H337">
        <v>56</v>
      </c>
      <c r="I337">
        <v>15.3</v>
      </c>
      <c r="J337">
        <v>3.3</v>
      </c>
      <c r="K337">
        <v>1.4</v>
      </c>
      <c r="L337">
        <v>6.5</v>
      </c>
      <c r="M337" s="1">
        <v>7163000</v>
      </c>
      <c r="N337" s="2">
        <f>IF(O337="US",1,0)</f>
        <v>1</v>
      </c>
      <c r="O337" t="s">
        <v>21</v>
      </c>
    </row>
    <row r="338" spans="1:15">
      <c r="A338" t="s">
        <v>358</v>
      </c>
      <c r="B338" t="s">
        <v>23</v>
      </c>
      <c r="C338">
        <f>IF(B338="east",1,0)</f>
        <v>1</v>
      </c>
      <c r="D338" t="s">
        <v>17</v>
      </c>
      <c r="E338">
        <f>IF(D338="Guard",1,0)</f>
        <v>1</v>
      </c>
      <c r="F338">
        <f>IF(D338="Forward",1,0)</f>
        <v>0</v>
      </c>
      <c r="G338">
        <v>20</v>
      </c>
      <c r="H338">
        <v>63</v>
      </c>
      <c r="I338">
        <v>21</v>
      </c>
      <c r="J338">
        <v>1.8</v>
      </c>
      <c r="K338">
        <v>1.4</v>
      </c>
      <c r="L338">
        <v>6.5</v>
      </c>
      <c r="M338" s="1">
        <v>3372240</v>
      </c>
      <c r="N338" s="2">
        <f>IF(O338="US",1,0)</f>
        <v>1</v>
      </c>
      <c r="O338" t="s">
        <v>21</v>
      </c>
    </row>
    <row r="339" spans="1:15">
      <c r="A339" t="s">
        <v>359</v>
      </c>
      <c r="B339" t="s">
        <v>23</v>
      </c>
      <c r="C339">
        <f>IF(B339="east",1,0)</f>
        <v>1</v>
      </c>
      <c r="D339" t="s">
        <v>24</v>
      </c>
      <c r="E339">
        <f>IF(D339="Guard",1,0)</f>
        <v>0</v>
      </c>
      <c r="F339">
        <f>IF(D339="Forward",1,0)</f>
        <v>1</v>
      </c>
      <c r="G339">
        <v>25</v>
      </c>
      <c r="H339">
        <v>53</v>
      </c>
      <c r="I339">
        <v>16.3</v>
      </c>
      <c r="J339">
        <v>3.3</v>
      </c>
      <c r="K339">
        <v>2.5</v>
      </c>
      <c r="L339">
        <v>6.5</v>
      </c>
      <c r="M339" s="1">
        <v>2461463</v>
      </c>
      <c r="N339" s="2">
        <f>IF(O339="US",1,0)</f>
        <v>1</v>
      </c>
      <c r="O339" t="s">
        <v>21</v>
      </c>
    </row>
    <row r="340" spans="1:15">
      <c r="A340" t="s">
        <v>360</v>
      </c>
      <c r="B340" t="s">
        <v>16</v>
      </c>
      <c r="C340">
        <f>IF(B340="east",1,0)</f>
        <v>0</v>
      </c>
      <c r="D340" t="s">
        <v>24</v>
      </c>
      <c r="E340">
        <f>IF(D340="Guard",1,0)</f>
        <v>0</v>
      </c>
      <c r="F340">
        <f>IF(D340="Forward",1,0)</f>
        <v>1</v>
      </c>
      <c r="G340">
        <v>23</v>
      </c>
      <c r="H340">
        <v>82</v>
      </c>
      <c r="I340">
        <v>22</v>
      </c>
      <c r="J340">
        <v>5.0999999999999996</v>
      </c>
      <c r="K340">
        <v>2.2999999999999998</v>
      </c>
      <c r="L340">
        <v>6.5</v>
      </c>
      <c r="M340" s="1">
        <v>1955377</v>
      </c>
      <c r="N340" s="2">
        <f>IF(O340="US",1,0)</f>
        <v>1</v>
      </c>
      <c r="O340" t="s">
        <v>21</v>
      </c>
    </row>
    <row r="341" spans="1:15">
      <c r="A341" t="s">
        <v>361</v>
      </c>
      <c r="B341" t="s">
        <v>23</v>
      </c>
      <c r="C341">
        <f>IF(B341="east",1,0)</f>
        <v>1</v>
      </c>
      <c r="D341" t="s">
        <v>29</v>
      </c>
      <c r="E341">
        <f>IF(D341="Guard",1,0)</f>
        <v>0</v>
      </c>
      <c r="F341">
        <f>IF(D341="Forward",1,0)</f>
        <v>0</v>
      </c>
      <c r="G341">
        <v>32</v>
      </c>
      <c r="H341">
        <v>63</v>
      </c>
      <c r="I341">
        <v>19.5</v>
      </c>
      <c r="J341">
        <v>8.4</v>
      </c>
      <c r="K341">
        <v>1.3</v>
      </c>
      <c r="L341">
        <v>6.4</v>
      </c>
      <c r="M341" s="1">
        <v>5000000</v>
      </c>
      <c r="N341" s="2">
        <f>IF(O341="US",1,0)</f>
        <v>1</v>
      </c>
      <c r="O341" t="s">
        <v>21</v>
      </c>
    </row>
    <row r="342" spans="1:15">
      <c r="A342" t="s">
        <v>362</v>
      </c>
      <c r="B342" t="s">
        <v>23</v>
      </c>
      <c r="C342">
        <f>IF(B342="east",1,0)</f>
        <v>1</v>
      </c>
      <c r="D342" t="s">
        <v>24</v>
      </c>
      <c r="E342">
        <f>IF(D342="Guard",1,0)</f>
        <v>0</v>
      </c>
      <c r="F342">
        <f>IF(D342="Forward",1,0)</f>
        <v>1</v>
      </c>
      <c r="G342">
        <v>25</v>
      </c>
      <c r="H342">
        <v>54</v>
      </c>
      <c r="I342">
        <v>15.9</v>
      </c>
      <c r="J342">
        <v>2.1</v>
      </c>
      <c r="K342">
        <v>0.9</v>
      </c>
      <c r="L342">
        <v>6.4</v>
      </c>
      <c r="M342" s="1">
        <v>2221677</v>
      </c>
      <c r="N342" s="2">
        <f>IF(O342="US",1,0)</f>
        <v>1</v>
      </c>
      <c r="O342" t="s">
        <v>21</v>
      </c>
    </row>
    <row r="343" spans="1:15">
      <c r="A343" t="s">
        <v>363</v>
      </c>
      <c r="B343" t="s">
        <v>16</v>
      </c>
      <c r="C343">
        <f>IF(B343="east",1,0)</f>
        <v>0</v>
      </c>
      <c r="D343" t="s">
        <v>17</v>
      </c>
      <c r="E343">
        <f>IF(D343="Guard",1,0)</f>
        <v>1</v>
      </c>
      <c r="F343">
        <f>IF(D343="Forward",1,0)</f>
        <v>0</v>
      </c>
      <c r="G343">
        <v>23</v>
      </c>
      <c r="H343">
        <v>69</v>
      </c>
      <c r="I343">
        <v>20</v>
      </c>
      <c r="J343">
        <v>2.5</v>
      </c>
      <c r="K343">
        <v>1.3</v>
      </c>
      <c r="L343">
        <v>6.4</v>
      </c>
      <c r="M343" s="1">
        <v>1272870</v>
      </c>
      <c r="N343" s="2">
        <f>IF(O343="US",1,0)</f>
        <v>1</v>
      </c>
      <c r="O343" t="s">
        <v>21</v>
      </c>
    </row>
    <row r="344" spans="1:15">
      <c r="A344" t="s">
        <v>364</v>
      </c>
      <c r="B344" t="s">
        <v>23</v>
      </c>
      <c r="C344">
        <f>IF(B344="east",1,0)</f>
        <v>1</v>
      </c>
      <c r="D344" t="s">
        <v>17</v>
      </c>
      <c r="E344">
        <f>IF(D344="Guard",1,0)</f>
        <v>1</v>
      </c>
      <c r="F344">
        <f>IF(D344="Forward",1,0)</f>
        <v>0</v>
      </c>
      <c r="G344">
        <v>30</v>
      </c>
      <c r="H344">
        <v>53</v>
      </c>
      <c r="I344">
        <v>16.399999999999999</v>
      </c>
      <c r="J344">
        <v>1.7</v>
      </c>
      <c r="K344">
        <v>1.6</v>
      </c>
      <c r="L344">
        <v>6.4</v>
      </c>
      <c r="M344" s="1">
        <v>1168625</v>
      </c>
      <c r="N344" s="2">
        <f>IF(O344="US",1,0)</f>
        <v>1</v>
      </c>
      <c r="O344" t="s">
        <v>21</v>
      </c>
    </row>
    <row r="345" spans="1:15">
      <c r="A345" t="s">
        <v>365</v>
      </c>
      <c r="B345" t="s">
        <v>23</v>
      </c>
      <c r="C345">
        <f>IF(B345="east",1,0)</f>
        <v>1</v>
      </c>
      <c r="D345" t="s">
        <v>17</v>
      </c>
      <c r="E345">
        <f>IF(D345="Guard",1,0)</f>
        <v>1</v>
      </c>
      <c r="F345">
        <f>IF(D345="Forward",1,0)</f>
        <v>0</v>
      </c>
      <c r="G345">
        <v>21</v>
      </c>
      <c r="H345">
        <v>65</v>
      </c>
      <c r="I345">
        <v>14.9</v>
      </c>
      <c r="J345">
        <v>2</v>
      </c>
      <c r="K345">
        <v>2.2000000000000002</v>
      </c>
      <c r="L345">
        <v>6.3</v>
      </c>
      <c r="M345" s="1">
        <v>6576120</v>
      </c>
      <c r="N345" s="2">
        <f>IF(O345="US",1,0)</f>
        <v>1</v>
      </c>
      <c r="O345" t="s">
        <v>21</v>
      </c>
    </row>
    <row r="346" spans="1:15">
      <c r="A346" t="s">
        <v>366</v>
      </c>
      <c r="B346" t="s">
        <v>16</v>
      </c>
      <c r="C346">
        <f>IF(B346="east",1,0)</f>
        <v>0</v>
      </c>
      <c r="D346" t="s">
        <v>17</v>
      </c>
      <c r="E346">
        <f>IF(D346="Guard",1,0)</f>
        <v>1</v>
      </c>
      <c r="F346">
        <f>IF(D346="Forward",1,0)</f>
        <v>0</v>
      </c>
      <c r="G346">
        <v>31</v>
      </c>
      <c r="H346">
        <v>56</v>
      </c>
      <c r="I346">
        <v>18.2</v>
      </c>
      <c r="J346">
        <v>2.8</v>
      </c>
      <c r="K346">
        <v>2</v>
      </c>
      <c r="L346">
        <v>6.2</v>
      </c>
      <c r="M346" s="1">
        <v>18102000</v>
      </c>
      <c r="N346" s="2">
        <f>IF(O346="US",1,0)</f>
        <v>1</v>
      </c>
      <c r="O346" t="s">
        <v>21</v>
      </c>
    </row>
    <row r="347" spans="1:15">
      <c r="A347" t="s">
        <v>367</v>
      </c>
      <c r="B347" t="s">
        <v>23</v>
      </c>
      <c r="C347">
        <f>IF(B347="east",1,0)</f>
        <v>1</v>
      </c>
      <c r="D347" t="s">
        <v>17</v>
      </c>
      <c r="E347">
        <f>IF(D347="Guard",1,0)</f>
        <v>1</v>
      </c>
      <c r="F347">
        <f>IF(D347="Forward",1,0)</f>
        <v>0</v>
      </c>
      <c r="G347">
        <v>19</v>
      </c>
      <c r="H347">
        <v>53</v>
      </c>
      <c r="I347">
        <v>17.8</v>
      </c>
      <c r="J347">
        <v>2.6</v>
      </c>
      <c r="K347">
        <v>2.6</v>
      </c>
      <c r="L347">
        <v>6.2</v>
      </c>
      <c r="M347" s="1">
        <v>3658800</v>
      </c>
      <c r="N347" s="2">
        <f>IF(O347="US",1,0)</f>
        <v>0</v>
      </c>
      <c r="O347" t="s">
        <v>18</v>
      </c>
    </row>
    <row r="348" spans="1:15">
      <c r="A348" t="s">
        <v>368</v>
      </c>
      <c r="B348" t="s">
        <v>23</v>
      </c>
      <c r="C348">
        <f>IF(B348="east",1,0)</f>
        <v>1</v>
      </c>
      <c r="D348" t="s">
        <v>29</v>
      </c>
      <c r="E348">
        <f>IF(D348="Guard",1,0)</f>
        <v>0</v>
      </c>
      <c r="F348">
        <f>IF(D348="Forward",1,0)</f>
        <v>0</v>
      </c>
      <c r="G348">
        <v>28</v>
      </c>
      <c r="H348">
        <v>60</v>
      </c>
      <c r="I348">
        <v>12.2</v>
      </c>
      <c r="J348">
        <v>3.4</v>
      </c>
      <c r="K348">
        <v>0.6</v>
      </c>
      <c r="L348">
        <v>6.2</v>
      </c>
      <c r="M348" s="1">
        <v>3287409</v>
      </c>
      <c r="N348" s="2">
        <f>IF(O348="US",1,0)</f>
        <v>1</v>
      </c>
      <c r="O348" t="s">
        <v>21</v>
      </c>
    </row>
    <row r="349" spans="1:15">
      <c r="A349" t="s">
        <v>369</v>
      </c>
      <c r="B349" t="s">
        <v>16</v>
      </c>
      <c r="C349">
        <f>IF(B349="east",1,0)</f>
        <v>0</v>
      </c>
      <c r="D349" t="s">
        <v>24</v>
      </c>
      <c r="E349">
        <f>IF(D349="Guard",1,0)</f>
        <v>0</v>
      </c>
      <c r="F349">
        <f>IF(D349="Forward",1,0)</f>
        <v>1</v>
      </c>
      <c r="G349">
        <v>32</v>
      </c>
      <c r="H349">
        <v>43</v>
      </c>
      <c r="I349">
        <v>19.8</v>
      </c>
      <c r="J349">
        <v>3.5</v>
      </c>
      <c r="K349">
        <v>2.9</v>
      </c>
      <c r="L349">
        <v>6.2</v>
      </c>
      <c r="M349" s="1">
        <v>898095</v>
      </c>
      <c r="N349" s="2">
        <f>IF(O349="US",1,0)</f>
        <v>1</v>
      </c>
      <c r="O349" t="s">
        <v>21</v>
      </c>
    </row>
    <row r="350" spans="1:15">
      <c r="A350" t="s">
        <v>370</v>
      </c>
      <c r="B350" t="s">
        <v>16</v>
      </c>
      <c r="C350">
        <f>IF(B350="east",1,0)</f>
        <v>0</v>
      </c>
      <c r="D350" t="s">
        <v>17</v>
      </c>
      <c r="E350">
        <f>IF(D350="Guard",1,0)</f>
        <v>1</v>
      </c>
      <c r="F350">
        <f>IF(D350="Forward",1,0)</f>
        <v>0</v>
      </c>
      <c r="G350">
        <v>23</v>
      </c>
      <c r="H350">
        <v>31</v>
      </c>
      <c r="I350">
        <v>21.7</v>
      </c>
      <c r="J350">
        <v>2.6</v>
      </c>
      <c r="K350">
        <v>2.2000000000000002</v>
      </c>
      <c r="L350">
        <v>6.2</v>
      </c>
      <c r="M350" s="1">
        <v>270668</v>
      </c>
      <c r="N350" s="2">
        <f>IF(O350="US",1,0)</f>
        <v>1</v>
      </c>
      <c r="O350" t="s">
        <v>21</v>
      </c>
    </row>
    <row r="351" spans="1:15">
      <c r="A351" t="s">
        <v>371</v>
      </c>
      <c r="B351" t="s">
        <v>16</v>
      </c>
      <c r="C351">
        <f>IF(B351="east",1,0)</f>
        <v>0</v>
      </c>
      <c r="D351" t="s">
        <v>17</v>
      </c>
      <c r="E351">
        <f>IF(D351="Guard",1,0)</f>
        <v>1</v>
      </c>
      <c r="F351">
        <f>IF(D351="Forward",1,0)</f>
        <v>0</v>
      </c>
      <c r="G351">
        <v>21</v>
      </c>
      <c r="H351">
        <v>30</v>
      </c>
      <c r="I351">
        <v>12.5</v>
      </c>
      <c r="J351">
        <v>0.8</v>
      </c>
      <c r="K351">
        <v>1</v>
      </c>
      <c r="L351">
        <v>6.2</v>
      </c>
      <c r="M351" s="1">
        <v>13197</v>
      </c>
      <c r="N351" s="2">
        <f>IF(O351="US",1,0)</f>
        <v>1</v>
      </c>
      <c r="O351" t="s">
        <v>21</v>
      </c>
    </row>
    <row r="352" spans="1:15">
      <c r="A352" t="s">
        <v>372</v>
      </c>
      <c r="B352" t="s">
        <v>23</v>
      </c>
      <c r="C352">
        <f>IF(B352="east",1,0)</f>
        <v>1</v>
      </c>
      <c r="D352" t="s">
        <v>24</v>
      </c>
      <c r="E352">
        <f>IF(D352="Guard",1,0)</f>
        <v>0</v>
      </c>
      <c r="F352">
        <f>IF(D352="Forward",1,0)</f>
        <v>1</v>
      </c>
      <c r="G352">
        <v>20</v>
      </c>
      <c r="H352">
        <v>37</v>
      </c>
      <c r="I352">
        <v>15.5</v>
      </c>
      <c r="J352">
        <v>4</v>
      </c>
      <c r="K352">
        <v>0.7</v>
      </c>
      <c r="L352">
        <v>6</v>
      </c>
      <c r="M352" s="1">
        <v>7863240</v>
      </c>
      <c r="N352" s="2">
        <f>IF(O352="US",1,0)</f>
        <v>0</v>
      </c>
      <c r="O352" t="s">
        <v>18</v>
      </c>
    </row>
    <row r="353" spans="1:15">
      <c r="A353" t="s">
        <v>373</v>
      </c>
      <c r="B353" t="s">
        <v>23</v>
      </c>
      <c r="C353">
        <f>IF(B353="east",1,0)</f>
        <v>1</v>
      </c>
      <c r="D353" t="s">
        <v>17</v>
      </c>
      <c r="E353">
        <f>IF(D353="Guard",1,0)</f>
        <v>1</v>
      </c>
      <c r="F353">
        <f>IF(D353="Forward",1,0)</f>
        <v>0</v>
      </c>
      <c r="G353">
        <v>22</v>
      </c>
      <c r="H353">
        <v>76</v>
      </c>
      <c r="I353">
        <v>14</v>
      </c>
      <c r="J353">
        <v>1.9</v>
      </c>
      <c r="K353">
        <v>0.7</v>
      </c>
      <c r="L353">
        <v>6</v>
      </c>
      <c r="M353" s="1">
        <v>4990560</v>
      </c>
      <c r="N353" s="2">
        <f>IF(O353="US",1,0)</f>
        <v>1</v>
      </c>
      <c r="O353" t="s">
        <v>21</v>
      </c>
    </row>
    <row r="354" spans="1:15">
      <c r="A354" t="s">
        <v>374</v>
      </c>
      <c r="B354" t="s">
        <v>23</v>
      </c>
      <c r="C354">
        <f>IF(B354="east",1,0)</f>
        <v>1</v>
      </c>
      <c r="D354" t="s">
        <v>24</v>
      </c>
      <c r="E354">
        <f>IF(D354="Guard",1,0)</f>
        <v>0</v>
      </c>
      <c r="F354">
        <f>IF(D354="Forward",1,0)</f>
        <v>1</v>
      </c>
      <c r="G354">
        <v>22</v>
      </c>
      <c r="H354">
        <v>64</v>
      </c>
      <c r="I354">
        <v>15.3</v>
      </c>
      <c r="J354">
        <v>1.5</v>
      </c>
      <c r="K354">
        <v>1.3</v>
      </c>
      <c r="L354">
        <v>6</v>
      </c>
      <c r="M354" s="1">
        <v>2048494</v>
      </c>
      <c r="N354" s="2">
        <f>IF(O354="US",1,0)</f>
        <v>1</v>
      </c>
      <c r="O354" t="s">
        <v>21</v>
      </c>
    </row>
    <row r="355" spans="1:15">
      <c r="A355" t="s">
        <v>375</v>
      </c>
      <c r="B355" t="s">
        <v>16</v>
      </c>
      <c r="C355">
        <f>IF(B355="east",1,0)</f>
        <v>0</v>
      </c>
      <c r="D355" t="s">
        <v>17</v>
      </c>
      <c r="E355">
        <f>IF(D355="Guard",1,0)</f>
        <v>1</v>
      </c>
      <c r="F355">
        <f>IF(D355="Forward",1,0)</f>
        <v>0</v>
      </c>
      <c r="G355">
        <v>22</v>
      </c>
      <c r="H355">
        <v>1</v>
      </c>
      <c r="I355">
        <v>25</v>
      </c>
      <c r="J355">
        <v>0</v>
      </c>
      <c r="K355">
        <v>1</v>
      </c>
      <c r="L355">
        <v>6</v>
      </c>
      <c r="M355" s="1">
        <v>14631</v>
      </c>
      <c r="N355" s="2">
        <f>IF(O355="US",1,0)</f>
        <v>1</v>
      </c>
      <c r="O355" t="s">
        <v>21</v>
      </c>
    </row>
    <row r="356" spans="1:15">
      <c r="A356" t="s">
        <v>376</v>
      </c>
      <c r="B356" t="s">
        <v>23</v>
      </c>
      <c r="C356">
        <f>IF(B356="east",1,0)</f>
        <v>1</v>
      </c>
      <c r="D356" t="s">
        <v>29</v>
      </c>
      <c r="E356">
        <f>IF(D356="Guard",1,0)</f>
        <v>0</v>
      </c>
      <c r="F356">
        <f>IF(D356="Forward",1,0)</f>
        <v>0</v>
      </c>
      <c r="G356">
        <v>26</v>
      </c>
      <c r="H356">
        <v>64</v>
      </c>
      <c r="I356">
        <v>15.2</v>
      </c>
      <c r="J356">
        <v>5</v>
      </c>
      <c r="K356">
        <v>1.3</v>
      </c>
      <c r="L356">
        <v>5.9</v>
      </c>
      <c r="M356" s="1">
        <v>8333333</v>
      </c>
      <c r="N356" s="2">
        <f>IF(O356="US",1,0)</f>
        <v>0</v>
      </c>
      <c r="O356" t="s">
        <v>18</v>
      </c>
    </row>
    <row r="357" spans="1:15">
      <c r="A357" t="s">
        <v>377</v>
      </c>
      <c r="B357" t="s">
        <v>16</v>
      </c>
      <c r="C357">
        <f>IF(B357="east",1,0)</f>
        <v>0</v>
      </c>
      <c r="D357" t="s">
        <v>29</v>
      </c>
      <c r="E357">
        <f>IF(D357="Guard",1,0)</f>
        <v>0</v>
      </c>
      <c r="F357">
        <f>IF(D357="Forward",1,0)</f>
        <v>0</v>
      </c>
      <c r="G357">
        <v>32</v>
      </c>
      <c r="H357">
        <v>32</v>
      </c>
      <c r="I357">
        <v>22.8</v>
      </c>
      <c r="J357">
        <v>8.6</v>
      </c>
      <c r="K357">
        <v>1.5</v>
      </c>
      <c r="L357">
        <v>5.8</v>
      </c>
      <c r="M357" s="1">
        <v>14130434</v>
      </c>
      <c r="N357" s="2">
        <f>IF(O357="US",1,0)</f>
        <v>0</v>
      </c>
      <c r="O357" t="s">
        <v>18</v>
      </c>
    </row>
    <row r="358" spans="1:15">
      <c r="A358" t="s">
        <v>378</v>
      </c>
      <c r="B358" t="s">
        <v>16</v>
      </c>
      <c r="C358">
        <f>IF(B358="east",1,0)</f>
        <v>0</v>
      </c>
      <c r="D358" t="s">
        <v>17</v>
      </c>
      <c r="E358">
        <f>IF(D358="Guard",1,0)</f>
        <v>1</v>
      </c>
      <c r="F358">
        <f>IF(D358="Forward",1,0)</f>
        <v>0</v>
      </c>
      <c r="G358">
        <v>28</v>
      </c>
      <c r="H358">
        <v>30</v>
      </c>
      <c r="I358">
        <v>16</v>
      </c>
      <c r="J358">
        <v>2</v>
      </c>
      <c r="K358">
        <v>0.9</v>
      </c>
      <c r="L358">
        <v>5.8</v>
      </c>
      <c r="M358" s="1">
        <v>11550000</v>
      </c>
      <c r="N358" s="2">
        <f>IF(O358="US",1,0)</f>
        <v>1</v>
      </c>
      <c r="O358" t="s">
        <v>21</v>
      </c>
    </row>
    <row r="359" spans="1:15">
      <c r="A359" t="s">
        <v>379</v>
      </c>
      <c r="B359" t="s">
        <v>23</v>
      </c>
      <c r="C359">
        <f>IF(B359="east",1,0)</f>
        <v>1</v>
      </c>
      <c r="D359" t="s">
        <v>24</v>
      </c>
      <c r="E359">
        <f>IF(D359="Guard",1,0)</f>
        <v>0</v>
      </c>
      <c r="F359">
        <f>IF(D359="Forward",1,0)</f>
        <v>1</v>
      </c>
      <c r="G359">
        <v>29</v>
      </c>
      <c r="H359">
        <v>59</v>
      </c>
      <c r="I359">
        <v>22.3</v>
      </c>
      <c r="J359">
        <v>4.2</v>
      </c>
      <c r="K359">
        <v>1.5</v>
      </c>
      <c r="L359">
        <v>5.8</v>
      </c>
      <c r="M359" s="1">
        <v>6623456</v>
      </c>
      <c r="N359" s="2">
        <f>IF(O359="US",1,0)</f>
        <v>1</v>
      </c>
      <c r="O359" t="s">
        <v>21</v>
      </c>
    </row>
    <row r="360" spans="1:15">
      <c r="A360" t="s">
        <v>380</v>
      </c>
      <c r="B360" t="s">
        <v>23</v>
      </c>
      <c r="C360">
        <f>IF(B360="east",1,0)</f>
        <v>1</v>
      </c>
      <c r="D360" t="s">
        <v>29</v>
      </c>
      <c r="E360">
        <f>IF(D360="Guard",1,0)</f>
        <v>0</v>
      </c>
      <c r="F360">
        <f>IF(D360="Forward",1,0)</f>
        <v>0</v>
      </c>
      <c r="G360">
        <v>28</v>
      </c>
      <c r="H360">
        <v>48</v>
      </c>
      <c r="I360">
        <v>14.6</v>
      </c>
      <c r="J360">
        <v>5.0999999999999996</v>
      </c>
      <c r="K360">
        <v>0.3</v>
      </c>
      <c r="L360">
        <v>5.8</v>
      </c>
      <c r="M360" s="1">
        <v>5000000</v>
      </c>
      <c r="N360" s="2">
        <f>IF(O360="US",1,0)</f>
        <v>0</v>
      </c>
      <c r="O360" t="s">
        <v>18</v>
      </c>
    </row>
    <row r="361" spans="1:15">
      <c r="A361" t="s">
        <v>381</v>
      </c>
      <c r="B361" t="s">
        <v>16</v>
      </c>
      <c r="C361">
        <f>IF(B361="east",1,0)</f>
        <v>0</v>
      </c>
      <c r="D361" t="s">
        <v>24</v>
      </c>
      <c r="E361">
        <f>IF(D361="Guard",1,0)</f>
        <v>0</v>
      </c>
      <c r="F361">
        <f>IF(D361="Forward",1,0)</f>
        <v>1</v>
      </c>
      <c r="G361">
        <v>25</v>
      </c>
      <c r="H361">
        <v>57</v>
      </c>
      <c r="I361">
        <v>23.4</v>
      </c>
      <c r="J361">
        <v>3.6</v>
      </c>
      <c r="K361">
        <v>1.4</v>
      </c>
      <c r="L361">
        <v>5.8</v>
      </c>
      <c r="M361" s="1">
        <v>3132000</v>
      </c>
      <c r="N361" s="2">
        <f>IF(O361="US",1,0)</f>
        <v>1</v>
      </c>
      <c r="O361" t="s">
        <v>21</v>
      </c>
    </row>
    <row r="362" spans="1:15">
      <c r="A362" t="s">
        <v>382</v>
      </c>
      <c r="B362" t="s">
        <v>23</v>
      </c>
      <c r="C362">
        <f>IF(B362="east",1,0)</f>
        <v>1</v>
      </c>
      <c r="D362" t="s">
        <v>24</v>
      </c>
      <c r="E362">
        <f>IF(D362="Guard",1,0)</f>
        <v>0</v>
      </c>
      <c r="F362">
        <f>IF(D362="Forward",1,0)</f>
        <v>1</v>
      </c>
      <c r="G362">
        <v>33</v>
      </c>
      <c r="H362">
        <v>55</v>
      </c>
      <c r="I362">
        <v>17.3</v>
      </c>
      <c r="J362">
        <v>2.9</v>
      </c>
      <c r="K362">
        <v>1.3</v>
      </c>
      <c r="L362">
        <v>5.8</v>
      </c>
      <c r="M362" s="1">
        <v>2667947</v>
      </c>
      <c r="N362" s="2">
        <f>IF(O362="US",1,0)</f>
        <v>1</v>
      </c>
      <c r="O362" t="s">
        <v>21</v>
      </c>
    </row>
    <row r="363" spans="1:15">
      <c r="A363" t="s">
        <v>383</v>
      </c>
      <c r="B363" t="s">
        <v>16</v>
      </c>
      <c r="C363">
        <f>IF(B363="east",1,0)</f>
        <v>0</v>
      </c>
      <c r="D363" t="s">
        <v>24</v>
      </c>
      <c r="E363">
        <f>IF(D363="Guard",1,0)</f>
        <v>0</v>
      </c>
      <c r="F363">
        <f>IF(D363="Forward",1,0)</f>
        <v>1</v>
      </c>
      <c r="G363">
        <v>23</v>
      </c>
      <c r="H363">
        <v>70</v>
      </c>
      <c r="I363">
        <v>19.399999999999999</v>
      </c>
      <c r="J363">
        <v>4.2</v>
      </c>
      <c r="K363">
        <v>1.5</v>
      </c>
      <c r="L363">
        <v>5.8</v>
      </c>
      <c r="M363" s="1">
        <v>2657760</v>
      </c>
      <c r="N363" s="2">
        <f>IF(O363="US",1,0)</f>
        <v>1</v>
      </c>
      <c r="O363" t="s">
        <v>21</v>
      </c>
    </row>
    <row r="364" spans="1:15">
      <c r="A364" t="s">
        <v>384</v>
      </c>
      <c r="B364" t="s">
        <v>23</v>
      </c>
      <c r="C364">
        <f>IF(B364="east",1,0)</f>
        <v>1</v>
      </c>
      <c r="D364" t="s">
        <v>24</v>
      </c>
      <c r="E364">
        <f>IF(D364="Guard",1,0)</f>
        <v>0</v>
      </c>
      <c r="F364">
        <f>IF(D364="Forward",1,0)</f>
        <v>1</v>
      </c>
      <c r="G364">
        <v>26</v>
      </c>
      <c r="H364">
        <v>61</v>
      </c>
      <c r="I364">
        <v>15.8</v>
      </c>
      <c r="J364">
        <v>3</v>
      </c>
      <c r="K364">
        <v>1.3</v>
      </c>
      <c r="L364">
        <v>5.8</v>
      </c>
      <c r="M364" s="1">
        <v>2654880</v>
      </c>
      <c r="N364" s="2">
        <f>IF(O364="US",1,0)</f>
        <v>1</v>
      </c>
      <c r="O364" t="s">
        <v>21</v>
      </c>
    </row>
    <row r="365" spans="1:15">
      <c r="A365" t="s">
        <v>385</v>
      </c>
      <c r="B365" t="s">
        <v>23</v>
      </c>
      <c r="C365">
        <f>IF(B365="east",1,0)</f>
        <v>1</v>
      </c>
      <c r="D365" t="s">
        <v>24</v>
      </c>
      <c r="E365">
        <f>IF(D365="Guard",1,0)</f>
        <v>0</v>
      </c>
      <c r="F365">
        <f>IF(D365="Forward",1,0)</f>
        <v>1</v>
      </c>
      <c r="G365">
        <v>25</v>
      </c>
      <c r="H365">
        <v>64</v>
      </c>
      <c r="I365">
        <v>15.7</v>
      </c>
      <c r="J365">
        <v>2.9</v>
      </c>
      <c r="K365">
        <v>0.8</v>
      </c>
      <c r="L365">
        <v>5.8</v>
      </c>
      <c r="M365" s="1">
        <v>718150</v>
      </c>
      <c r="N365" s="2">
        <f>IF(O365="US",1,0)</f>
        <v>1</v>
      </c>
      <c r="O365" t="s">
        <v>21</v>
      </c>
    </row>
    <row r="366" spans="1:15">
      <c r="A366" t="s">
        <v>386</v>
      </c>
      <c r="B366" t="s">
        <v>16</v>
      </c>
      <c r="C366">
        <f>IF(B366="east",1,0)</f>
        <v>0</v>
      </c>
      <c r="D366" t="s">
        <v>29</v>
      </c>
      <c r="E366">
        <f>IF(D366="Guard",1,0)</f>
        <v>0</v>
      </c>
      <c r="F366">
        <f>IF(D366="Forward",1,0)</f>
        <v>0</v>
      </c>
      <c r="G366">
        <v>25</v>
      </c>
      <c r="H366">
        <v>13</v>
      </c>
      <c r="I366">
        <v>11.8</v>
      </c>
      <c r="J366">
        <v>4.4000000000000004</v>
      </c>
      <c r="K366">
        <v>0.5</v>
      </c>
      <c r="L366">
        <v>5.8</v>
      </c>
      <c r="M366" s="1">
        <v>113171</v>
      </c>
      <c r="N366" s="2">
        <f>IF(O366="US",1,0)</f>
        <v>0</v>
      </c>
      <c r="O366" t="s">
        <v>18</v>
      </c>
    </row>
    <row r="367" spans="1:15">
      <c r="A367" t="s">
        <v>387</v>
      </c>
      <c r="B367" t="s">
        <v>16</v>
      </c>
      <c r="C367">
        <f>IF(B367="east",1,0)</f>
        <v>0</v>
      </c>
      <c r="D367" t="s">
        <v>29</v>
      </c>
      <c r="E367">
        <f>IF(D367="Guard",1,0)</f>
        <v>0</v>
      </c>
      <c r="F367">
        <f>IF(D367="Forward",1,0)</f>
        <v>0</v>
      </c>
      <c r="G367">
        <v>26</v>
      </c>
      <c r="H367">
        <v>42</v>
      </c>
      <c r="I367">
        <v>11.6</v>
      </c>
      <c r="J367">
        <v>3</v>
      </c>
      <c r="K367">
        <v>0.7</v>
      </c>
      <c r="L367">
        <v>5.8</v>
      </c>
      <c r="M367" s="1">
        <v>85300</v>
      </c>
      <c r="N367" s="2">
        <f>IF(O367="US",1,0)</f>
        <v>1</v>
      </c>
      <c r="O367" t="s">
        <v>21</v>
      </c>
    </row>
    <row r="368" spans="1:15">
      <c r="A368" t="s">
        <v>388</v>
      </c>
      <c r="B368" t="s">
        <v>23</v>
      </c>
      <c r="C368">
        <f>IF(B368="east",1,0)</f>
        <v>1</v>
      </c>
      <c r="D368" t="s">
        <v>29</v>
      </c>
      <c r="E368">
        <f>IF(D368="Guard",1,0)</f>
        <v>0</v>
      </c>
      <c r="F368">
        <f>IF(D368="Forward",1,0)</f>
        <v>0</v>
      </c>
      <c r="G368">
        <v>27</v>
      </c>
      <c r="H368">
        <v>60</v>
      </c>
      <c r="I368">
        <v>19.600000000000001</v>
      </c>
      <c r="J368">
        <v>8.8000000000000007</v>
      </c>
      <c r="K368">
        <v>0.9</v>
      </c>
      <c r="L368">
        <v>5.7</v>
      </c>
      <c r="M368" s="1">
        <v>12954546</v>
      </c>
      <c r="N368" s="2">
        <f>IF(O368="US",1,0)</f>
        <v>1</v>
      </c>
      <c r="O368" t="s">
        <v>21</v>
      </c>
    </row>
    <row r="369" spans="1:15">
      <c r="A369" t="s">
        <v>389</v>
      </c>
      <c r="B369" t="s">
        <v>16</v>
      </c>
      <c r="C369">
        <f>IF(B369="east",1,0)</f>
        <v>0</v>
      </c>
      <c r="D369" t="s">
        <v>24</v>
      </c>
      <c r="E369">
        <f>IF(D369="Guard",1,0)</f>
        <v>0</v>
      </c>
      <c r="F369">
        <f>IF(D369="Forward",1,0)</f>
        <v>1</v>
      </c>
      <c r="G369">
        <v>34</v>
      </c>
      <c r="H369">
        <v>29</v>
      </c>
      <c r="I369">
        <v>15.1</v>
      </c>
      <c r="J369">
        <v>1.3</v>
      </c>
      <c r="K369">
        <v>0.8</v>
      </c>
      <c r="L369">
        <v>5.7</v>
      </c>
      <c r="M369" s="1">
        <v>3634153</v>
      </c>
      <c r="N369" s="2">
        <f>IF(O369="US",1,0)</f>
        <v>1</v>
      </c>
      <c r="O369" t="s">
        <v>21</v>
      </c>
    </row>
    <row r="370" spans="1:15">
      <c r="A370" t="s">
        <v>390</v>
      </c>
      <c r="B370" t="s">
        <v>16</v>
      </c>
      <c r="C370">
        <f>IF(B370="east",1,0)</f>
        <v>0</v>
      </c>
      <c r="D370" t="s">
        <v>29</v>
      </c>
      <c r="E370">
        <f>IF(D370="Guard",1,0)</f>
        <v>0</v>
      </c>
      <c r="F370">
        <f>IF(D370="Forward",1,0)</f>
        <v>0</v>
      </c>
      <c r="G370">
        <v>21</v>
      </c>
      <c r="H370">
        <v>66</v>
      </c>
      <c r="I370">
        <v>19.7</v>
      </c>
      <c r="J370">
        <v>5.8</v>
      </c>
      <c r="K370">
        <v>1.3</v>
      </c>
      <c r="L370">
        <v>5.7</v>
      </c>
      <c r="M370" s="1">
        <v>3353040</v>
      </c>
      <c r="N370" s="2">
        <f>IF(O370="US",1,0)</f>
        <v>0</v>
      </c>
      <c r="O370" t="s">
        <v>18</v>
      </c>
    </row>
    <row r="371" spans="1:15">
      <c r="A371" t="s">
        <v>391</v>
      </c>
      <c r="B371" t="s">
        <v>16</v>
      </c>
      <c r="C371">
        <f>IF(B371="east",1,0)</f>
        <v>0</v>
      </c>
      <c r="D371" t="s">
        <v>24</v>
      </c>
      <c r="E371">
        <f>IF(D371="Guard",1,0)</f>
        <v>0</v>
      </c>
      <c r="F371">
        <f>IF(D371="Forward",1,0)</f>
        <v>1</v>
      </c>
      <c r="G371">
        <v>24</v>
      </c>
      <c r="H371">
        <v>62</v>
      </c>
      <c r="I371">
        <v>14.7</v>
      </c>
      <c r="J371">
        <v>3.7</v>
      </c>
      <c r="K371">
        <v>0.8</v>
      </c>
      <c r="L371">
        <v>5.7</v>
      </c>
      <c r="M371" s="1">
        <v>1830377</v>
      </c>
      <c r="N371" s="2">
        <f>IF(O371="US",1,0)</f>
        <v>0</v>
      </c>
      <c r="O371" t="s">
        <v>18</v>
      </c>
    </row>
    <row r="372" spans="1:15">
      <c r="A372" t="s">
        <v>392</v>
      </c>
      <c r="B372" t="s">
        <v>23</v>
      </c>
      <c r="C372">
        <f>IF(B372="east",1,0)</f>
        <v>1</v>
      </c>
      <c r="D372" t="s">
        <v>24</v>
      </c>
      <c r="E372">
        <f>IF(D372="Guard",1,0)</f>
        <v>0</v>
      </c>
      <c r="F372">
        <f>IF(D372="Forward",1,0)</f>
        <v>1</v>
      </c>
      <c r="G372">
        <v>25</v>
      </c>
      <c r="H372">
        <v>26</v>
      </c>
      <c r="I372">
        <v>13.4</v>
      </c>
      <c r="J372">
        <v>2.7</v>
      </c>
      <c r="K372">
        <v>0.9</v>
      </c>
      <c r="L372">
        <v>5.7</v>
      </c>
      <c r="M372" s="1">
        <v>792198</v>
      </c>
      <c r="N372" s="2">
        <f>IF(O372="US",1,0)</f>
        <v>1</v>
      </c>
      <c r="O372" t="s">
        <v>21</v>
      </c>
    </row>
    <row r="373" spans="1:15">
      <c r="A373" t="s">
        <v>393</v>
      </c>
      <c r="B373" t="s">
        <v>16</v>
      </c>
      <c r="C373">
        <f>IF(B373="east",1,0)</f>
        <v>0</v>
      </c>
      <c r="D373" t="s">
        <v>17</v>
      </c>
      <c r="E373">
        <f>IF(D373="Guard",1,0)</f>
        <v>1</v>
      </c>
      <c r="F373">
        <f>IF(D373="Forward",1,0)</f>
        <v>0</v>
      </c>
      <c r="G373">
        <v>26</v>
      </c>
      <c r="H373">
        <v>46</v>
      </c>
      <c r="I373">
        <v>14</v>
      </c>
      <c r="J373">
        <v>1.8</v>
      </c>
      <c r="K373">
        <v>1.8</v>
      </c>
      <c r="L373">
        <v>5.7</v>
      </c>
      <c r="M373" s="1">
        <v>574210</v>
      </c>
      <c r="N373" s="2">
        <f>IF(O373="US",1,0)</f>
        <v>1</v>
      </c>
      <c r="O373" t="s">
        <v>21</v>
      </c>
    </row>
    <row r="374" spans="1:15">
      <c r="A374" t="s">
        <v>394</v>
      </c>
      <c r="B374" t="s">
        <v>23</v>
      </c>
      <c r="C374">
        <f>IF(B374="east",1,0)</f>
        <v>1</v>
      </c>
      <c r="D374" t="s">
        <v>29</v>
      </c>
      <c r="E374">
        <f>IF(D374="Guard",1,0)</f>
        <v>0</v>
      </c>
      <c r="F374">
        <f>IF(D374="Forward",1,0)</f>
        <v>0</v>
      </c>
      <c r="G374">
        <v>30</v>
      </c>
      <c r="H374">
        <v>67</v>
      </c>
      <c r="I374">
        <v>15</v>
      </c>
      <c r="J374">
        <v>3.5</v>
      </c>
      <c r="K374">
        <v>0.9</v>
      </c>
      <c r="L374">
        <v>5.6</v>
      </c>
      <c r="M374" s="1">
        <v>5500000</v>
      </c>
      <c r="N374" s="2">
        <f>IF(O374="US",1,0)</f>
        <v>0</v>
      </c>
      <c r="O374" t="s">
        <v>18</v>
      </c>
    </row>
    <row r="375" spans="1:15">
      <c r="A375" t="s">
        <v>395</v>
      </c>
      <c r="B375" t="s">
        <v>16</v>
      </c>
      <c r="C375">
        <f>IF(B375="east",1,0)</f>
        <v>0</v>
      </c>
      <c r="D375" t="s">
        <v>17</v>
      </c>
      <c r="E375">
        <f>IF(D375="Guard",1,0)</f>
        <v>1</v>
      </c>
      <c r="F375">
        <f>IF(D375="Forward",1,0)</f>
        <v>0</v>
      </c>
      <c r="G375">
        <v>25</v>
      </c>
      <c r="H375">
        <v>43</v>
      </c>
      <c r="I375">
        <v>12.5</v>
      </c>
      <c r="J375">
        <v>1.1000000000000001</v>
      </c>
      <c r="K375">
        <v>0.9</v>
      </c>
      <c r="L375">
        <v>5.6</v>
      </c>
      <c r="M375" s="1">
        <v>2674080</v>
      </c>
      <c r="N375" s="2">
        <f>IF(O375="US",1,0)</f>
        <v>1</v>
      </c>
      <c r="O375" t="s">
        <v>21</v>
      </c>
    </row>
    <row r="376" spans="1:15">
      <c r="A376" t="s">
        <v>396</v>
      </c>
      <c r="B376" t="s">
        <v>23</v>
      </c>
      <c r="C376">
        <f>IF(B376="east",1,0)</f>
        <v>1</v>
      </c>
      <c r="D376" t="s">
        <v>17</v>
      </c>
      <c r="E376">
        <f>IF(D376="Guard",1,0)</f>
        <v>1</v>
      </c>
      <c r="F376">
        <f>IF(D376="Forward",1,0)</f>
        <v>0</v>
      </c>
      <c r="G376">
        <v>28</v>
      </c>
      <c r="H376">
        <v>70</v>
      </c>
      <c r="I376">
        <v>16.3</v>
      </c>
      <c r="J376">
        <v>2.5</v>
      </c>
      <c r="K376">
        <v>2.6</v>
      </c>
      <c r="L376">
        <v>5.6</v>
      </c>
      <c r="M376" s="1">
        <v>2378870</v>
      </c>
      <c r="N376" s="2">
        <f>IF(O376="US",1,0)</f>
        <v>1</v>
      </c>
      <c r="O376" t="s">
        <v>21</v>
      </c>
    </row>
    <row r="377" spans="1:15">
      <c r="A377" t="s">
        <v>397</v>
      </c>
      <c r="B377" t="s">
        <v>23</v>
      </c>
      <c r="C377">
        <f>IF(B377="east",1,0)</f>
        <v>1</v>
      </c>
      <c r="D377" t="s">
        <v>17</v>
      </c>
      <c r="E377">
        <f>IF(D377="Guard",1,0)</f>
        <v>1</v>
      </c>
      <c r="F377">
        <f>IF(D377="Forward",1,0)</f>
        <v>0</v>
      </c>
      <c r="G377">
        <v>24</v>
      </c>
      <c r="H377">
        <v>53</v>
      </c>
      <c r="I377">
        <v>12.6</v>
      </c>
      <c r="J377">
        <v>1.7</v>
      </c>
      <c r="K377">
        <v>1.6</v>
      </c>
      <c r="L377">
        <v>5.5</v>
      </c>
      <c r="M377" s="1">
        <v>8000000</v>
      </c>
      <c r="N377" s="2">
        <f>IF(O377="US",1,0)</f>
        <v>1</v>
      </c>
      <c r="O377" t="s">
        <v>21</v>
      </c>
    </row>
    <row r="378" spans="1:15">
      <c r="A378" t="s">
        <v>398</v>
      </c>
      <c r="B378" t="s">
        <v>23</v>
      </c>
      <c r="C378">
        <f>IF(B378="east",1,0)</f>
        <v>1</v>
      </c>
      <c r="D378" t="s">
        <v>24</v>
      </c>
      <c r="E378">
        <f>IF(D378="Guard",1,0)</f>
        <v>0</v>
      </c>
      <c r="F378">
        <f>IF(D378="Forward",1,0)</f>
        <v>1</v>
      </c>
      <c r="G378">
        <v>22</v>
      </c>
      <c r="H378">
        <v>55</v>
      </c>
      <c r="I378">
        <v>12.6</v>
      </c>
      <c r="J378">
        <v>1.6</v>
      </c>
      <c r="K378">
        <v>0.8</v>
      </c>
      <c r="L378">
        <v>5.5</v>
      </c>
      <c r="M378" s="1">
        <v>5529720</v>
      </c>
      <c r="N378" s="2">
        <f>IF(O378="US",1,0)</f>
        <v>1</v>
      </c>
      <c r="O378" t="s">
        <v>21</v>
      </c>
    </row>
    <row r="379" spans="1:15">
      <c r="A379" t="s">
        <v>399</v>
      </c>
      <c r="B379" t="s">
        <v>23</v>
      </c>
      <c r="C379">
        <f>IF(B379="east",1,0)</f>
        <v>1</v>
      </c>
      <c r="D379" t="s">
        <v>17</v>
      </c>
      <c r="E379">
        <f>IF(D379="Guard",1,0)</f>
        <v>1</v>
      </c>
      <c r="F379">
        <f>IF(D379="Forward",1,0)</f>
        <v>0</v>
      </c>
      <c r="G379">
        <v>37</v>
      </c>
      <c r="H379">
        <v>6</v>
      </c>
      <c r="I379">
        <v>12.3</v>
      </c>
      <c r="J379">
        <v>0.3</v>
      </c>
      <c r="K379">
        <v>0.5</v>
      </c>
      <c r="L379">
        <v>5.5</v>
      </c>
      <c r="M379" s="1">
        <v>3634153</v>
      </c>
      <c r="N379" s="2">
        <f>IF(O379="US",1,0)</f>
        <v>1</v>
      </c>
      <c r="O379" t="s">
        <v>21</v>
      </c>
    </row>
    <row r="380" spans="1:15">
      <c r="A380" t="s">
        <v>400</v>
      </c>
      <c r="B380" t="s">
        <v>16</v>
      </c>
      <c r="C380">
        <f>IF(B380="east",1,0)</f>
        <v>0</v>
      </c>
      <c r="D380" t="s">
        <v>17</v>
      </c>
      <c r="E380">
        <f>IF(D380="Guard",1,0)</f>
        <v>1</v>
      </c>
      <c r="F380">
        <f>IF(D380="Forward",1,0)</f>
        <v>0</v>
      </c>
      <c r="G380">
        <v>29</v>
      </c>
      <c r="H380">
        <v>57</v>
      </c>
      <c r="I380">
        <v>13.7</v>
      </c>
      <c r="J380">
        <v>1</v>
      </c>
      <c r="K380">
        <v>1.1000000000000001</v>
      </c>
      <c r="L380">
        <v>5.5</v>
      </c>
      <c r="M380" s="1">
        <v>3080921</v>
      </c>
      <c r="N380" s="2">
        <f>IF(O380="US",1,0)</f>
        <v>1</v>
      </c>
      <c r="O380" t="s">
        <v>21</v>
      </c>
    </row>
    <row r="381" spans="1:15">
      <c r="A381" t="s">
        <v>401</v>
      </c>
      <c r="B381" t="s">
        <v>23</v>
      </c>
      <c r="C381">
        <f>IF(B381="east",1,0)</f>
        <v>1</v>
      </c>
      <c r="D381" t="s">
        <v>17</v>
      </c>
      <c r="E381">
        <f>IF(D381="Guard",1,0)</f>
        <v>1</v>
      </c>
      <c r="F381">
        <f>IF(D381="Forward",1,0)</f>
        <v>0</v>
      </c>
      <c r="G381">
        <v>25</v>
      </c>
      <c r="H381">
        <v>77</v>
      </c>
      <c r="I381">
        <v>18.600000000000001</v>
      </c>
      <c r="J381">
        <v>3.5</v>
      </c>
      <c r="K381">
        <v>1.5</v>
      </c>
      <c r="L381">
        <v>5.5</v>
      </c>
      <c r="M381" s="1">
        <v>2619000</v>
      </c>
      <c r="N381" s="2">
        <f>IF(O381="US",1,0)</f>
        <v>1</v>
      </c>
      <c r="O381" t="s">
        <v>21</v>
      </c>
    </row>
    <row r="382" spans="1:15">
      <c r="A382" t="s">
        <v>402</v>
      </c>
      <c r="B382" t="s">
        <v>16</v>
      </c>
      <c r="C382">
        <f>IF(B382="east",1,0)</f>
        <v>0</v>
      </c>
      <c r="D382" t="s">
        <v>24</v>
      </c>
      <c r="E382">
        <f>IF(D382="Guard",1,0)</f>
        <v>0</v>
      </c>
      <c r="F382">
        <f>IF(D382="Forward",1,0)</f>
        <v>1</v>
      </c>
      <c r="G382">
        <v>24</v>
      </c>
      <c r="H382">
        <v>64</v>
      </c>
      <c r="I382">
        <v>22.1</v>
      </c>
      <c r="J382">
        <v>3.3</v>
      </c>
      <c r="K382">
        <v>0.8</v>
      </c>
      <c r="L382">
        <v>5.5</v>
      </c>
      <c r="M382" s="1">
        <v>623967</v>
      </c>
      <c r="N382" s="2">
        <f>IF(O382="US",1,0)</f>
        <v>1</v>
      </c>
      <c r="O382" t="s">
        <v>21</v>
      </c>
    </row>
    <row r="383" spans="1:15">
      <c r="A383" t="s">
        <v>403</v>
      </c>
      <c r="B383" t="s">
        <v>16</v>
      </c>
      <c r="C383">
        <f>IF(B383="east",1,0)</f>
        <v>0</v>
      </c>
      <c r="D383" t="s">
        <v>17</v>
      </c>
      <c r="E383">
        <f>IF(D383="Guard",1,0)</f>
        <v>1</v>
      </c>
      <c r="F383">
        <f>IF(D383="Forward",1,0)</f>
        <v>0</v>
      </c>
      <c r="G383">
        <v>24</v>
      </c>
      <c r="H383">
        <v>23</v>
      </c>
      <c r="I383">
        <v>17.7</v>
      </c>
      <c r="J383">
        <v>2.2999999999999998</v>
      </c>
      <c r="K383">
        <v>3.5</v>
      </c>
      <c r="L383">
        <v>5.5</v>
      </c>
      <c r="M383" s="1">
        <v>444658</v>
      </c>
      <c r="N383" s="2">
        <f>IF(O383="US",1,0)</f>
        <v>1</v>
      </c>
      <c r="O383" t="s">
        <v>21</v>
      </c>
    </row>
    <row r="384" spans="1:15">
      <c r="A384" t="s">
        <v>404</v>
      </c>
      <c r="B384" t="s">
        <v>23</v>
      </c>
      <c r="C384">
        <f>IF(B384="east",1,0)</f>
        <v>1</v>
      </c>
      <c r="D384" t="s">
        <v>17</v>
      </c>
      <c r="E384">
        <f>IF(D384="Guard",1,0)</f>
        <v>1</v>
      </c>
      <c r="F384">
        <f>IF(D384="Forward",1,0)</f>
        <v>0</v>
      </c>
      <c r="G384">
        <v>23</v>
      </c>
      <c r="H384">
        <v>82</v>
      </c>
      <c r="I384">
        <v>22.5</v>
      </c>
      <c r="J384">
        <v>3.5</v>
      </c>
      <c r="K384">
        <v>2</v>
      </c>
      <c r="L384">
        <v>5.4</v>
      </c>
      <c r="M384" s="1">
        <v>2296274</v>
      </c>
      <c r="N384" s="2">
        <f>IF(O384="US",1,0)</f>
        <v>1</v>
      </c>
      <c r="O384" t="s">
        <v>21</v>
      </c>
    </row>
    <row r="385" spans="1:15">
      <c r="A385" t="s">
        <v>405</v>
      </c>
      <c r="B385" t="s">
        <v>23</v>
      </c>
      <c r="C385">
        <f>IF(B385="east",1,0)</f>
        <v>1</v>
      </c>
      <c r="D385" t="s">
        <v>24</v>
      </c>
      <c r="E385">
        <f>IF(D385="Guard",1,0)</f>
        <v>0</v>
      </c>
      <c r="F385">
        <f>IF(D385="Forward",1,0)</f>
        <v>1</v>
      </c>
      <c r="G385">
        <v>21</v>
      </c>
      <c r="H385">
        <v>68</v>
      </c>
      <c r="I385">
        <v>17.8</v>
      </c>
      <c r="J385">
        <v>4</v>
      </c>
      <c r="K385">
        <v>0.8</v>
      </c>
      <c r="L385">
        <v>5.4</v>
      </c>
      <c r="M385" s="1">
        <v>2221677</v>
      </c>
      <c r="N385" s="2">
        <f>IF(O385="US",1,0)</f>
        <v>1</v>
      </c>
      <c r="O385" t="s">
        <v>21</v>
      </c>
    </row>
    <row r="386" spans="1:15">
      <c r="A386" t="s">
        <v>406</v>
      </c>
      <c r="B386" t="s">
        <v>23</v>
      </c>
      <c r="C386">
        <f>IF(B386="east",1,0)</f>
        <v>1</v>
      </c>
      <c r="D386" t="s">
        <v>17</v>
      </c>
      <c r="E386">
        <f>IF(D386="Guard",1,0)</f>
        <v>1</v>
      </c>
      <c r="F386">
        <f>IF(D386="Forward",1,0)</f>
        <v>0</v>
      </c>
      <c r="G386">
        <v>21</v>
      </c>
      <c r="H386">
        <v>50</v>
      </c>
      <c r="I386">
        <v>10.9</v>
      </c>
      <c r="J386">
        <v>1.3</v>
      </c>
      <c r="K386">
        <v>1.5</v>
      </c>
      <c r="L386">
        <v>5.4</v>
      </c>
      <c r="M386" s="1">
        <v>1272870</v>
      </c>
      <c r="N386" s="2">
        <f>IF(O386="US",1,0)</f>
        <v>0</v>
      </c>
      <c r="O386" t="s">
        <v>18</v>
      </c>
    </row>
    <row r="387" spans="1:15">
      <c r="A387" t="s">
        <v>407</v>
      </c>
      <c r="B387" t="s">
        <v>16</v>
      </c>
      <c r="C387">
        <f>IF(B387="east",1,0)</f>
        <v>0</v>
      </c>
      <c r="D387" t="s">
        <v>29</v>
      </c>
      <c r="E387">
        <f>IF(D387="Guard",1,0)</f>
        <v>0</v>
      </c>
      <c r="F387">
        <f>IF(D387="Forward",1,0)</f>
        <v>0</v>
      </c>
      <c r="G387">
        <v>24</v>
      </c>
      <c r="H387">
        <v>44</v>
      </c>
      <c r="I387">
        <v>20.6</v>
      </c>
      <c r="J387">
        <v>7.5</v>
      </c>
      <c r="K387">
        <v>1.4</v>
      </c>
      <c r="L387">
        <v>5.4</v>
      </c>
      <c r="M387" s="1">
        <v>871000</v>
      </c>
      <c r="N387" s="2">
        <f>IF(O387="US",1,0)</f>
        <v>1</v>
      </c>
      <c r="O387" t="s">
        <v>21</v>
      </c>
    </row>
    <row r="388" spans="1:15">
      <c r="A388" t="s">
        <v>408</v>
      </c>
      <c r="B388" t="s">
        <v>16</v>
      </c>
      <c r="C388">
        <f>IF(B388="east",1,0)</f>
        <v>0</v>
      </c>
      <c r="D388" t="s">
        <v>24</v>
      </c>
      <c r="E388">
        <f>IF(D388="Guard",1,0)</f>
        <v>0</v>
      </c>
      <c r="F388">
        <f>IF(D388="Forward",1,0)</f>
        <v>1</v>
      </c>
      <c r="G388">
        <v>29</v>
      </c>
      <c r="H388">
        <v>7</v>
      </c>
      <c r="I388">
        <v>13</v>
      </c>
      <c r="J388">
        <v>1.9</v>
      </c>
      <c r="K388">
        <v>1</v>
      </c>
      <c r="L388">
        <v>5.4</v>
      </c>
      <c r="M388" s="1">
        <v>827984</v>
      </c>
      <c r="N388" s="2">
        <f>IF(O388="US",1,0)</f>
        <v>1</v>
      </c>
      <c r="O388" t="s">
        <v>21</v>
      </c>
    </row>
    <row r="389" spans="1:15">
      <c r="A389" t="s">
        <v>409</v>
      </c>
      <c r="B389" t="s">
        <v>23</v>
      </c>
      <c r="C389">
        <f>IF(B389="east",1,0)</f>
        <v>1</v>
      </c>
      <c r="D389" t="s">
        <v>24</v>
      </c>
      <c r="E389">
        <f>IF(D389="Guard",1,0)</f>
        <v>0</v>
      </c>
      <c r="F389">
        <f>IF(D389="Forward",1,0)</f>
        <v>1</v>
      </c>
      <c r="G389">
        <v>25</v>
      </c>
      <c r="H389">
        <v>47</v>
      </c>
      <c r="I389">
        <v>15.7</v>
      </c>
      <c r="J389">
        <v>2.7</v>
      </c>
      <c r="K389">
        <v>1</v>
      </c>
      <c r="L389">
        <v>5.4</v>
      </c>
      <c r="M389" s="1">
        <v>600000</v>
      </c>
      <c r="N389" s="2">
        <f>IF(O389="US",1,0)</f>
        <v>1</v>
      </c>
      <c r="O389" t="s">
        <v>21</v>
      </c>
    </row>
    <row r="390" spans="1:15">
      <c r="A390" t="s">
        <v>410</v>
      </c>
      <c r="B390" t="s">
        <v>23</v>
      </c>
      <c r="C390">
        <f>IF(B390="east",1,0)</f>
        <v>1</v>
      </c>
      <c r="D390" t="s">
        <v>24</v>
      </c>
      <c r="E390">
        <f>IF(D390="Guard",1,0)</f>
        <v>0</v>
      </c>
      <c r="F390">
        <f>IF(D390="Forward",1,0)</f>
        <v>1</v>
      </c>
      <c r="G390">
        <v>26</v>
      </c>
      <c r="H390">
        <v>40</v>
      </c>
      <c r="I390">
        <v>12.2</v>
      </c>
      <c r="J390">
        <v>2</v>
      </c>
      <c r="K390">
        <v>0.7</v>
      </c>
      <c r="L390">
        <v>5.4</v>
      </c>
      <c r="M390" s="1">
        <v>328120</v>
      </c>
      <c r="N390" s="2">
        <f>IF(O390="US",1,0)</f>
        <v>1</v>
      </c>
      <c r="O390" t="s">
        <v>21</v>
      </c>
    </row>
    <row r="391" spans="1:15">
      <c r="A391" t="s">
        <v>411</v>
      </c>
      <c r="B391" t="s">
        <v>16</v>
      </c>
      <c r="C391">
        <f>IF(B391="east",1,0)</f>
        <v>0</v>
      </c>
      <c r="D391" t="s">
        <v>17</v>
      </c>
      <c r="E391">
        <f>IF(D391="Guard",1,0)</f>
        <v>1</v>
      </c>
      <c r="F391">
        <f>IF(D391="Forward",1,0)</f>
        <v>0</v>
      </c>
      <c r="G391">
        <v>20</v>
      </c>
      <c r="H391">
        <v>10</v>
      </c>
      <c r="I391">
        <v>16</v>
      </c>
      <c r="J391">
        <v>1.9</v>
      </c>
      <c r="K391">
        <v>4.4000000000000004</v>
      </c>
      <c r="L391">
        <v>5.2</v>
      </c>
      <c r="M391" s="1">
        <v>5182920</v>
      </c>
      <c r="N391" s="2">
        <f>IF(O391="US",1,0)</f>
        <v>0</v>
      </c>
      <c r="O391" t="s">
        <v>18</v>
      </c>
    </row>
    <row r="392" spans="1:15">
      <c r="A392" t="s">
        <v>412</v>
      </c>
      <c r="B392" t="s">
        <v>23</v>
      </c>
      <c r="C392">
        <f>IF(B392="east",1,0)</f>
        <v>1</v>
      </c>
      <c r="D392" t="s">
        <v>24</v>
      </c>
      <c r="E392">
        <f>IF(D392="Guard",1,0)</f>
        <v>0</v>
      </c>
      <c r="F392">
        <f>IF(D392="Forward",1,0)</f>
        <v>1</v>
      </c>
      <c r="G392">
        <v>20</v>
      </c>
      <c r="H392">
        <v>44</v>
      </c>
      <c r="I392">
        <v>11.4</v>
      </c>
      <c r="J392">
        <v>2.2000000000000002</v>
      </c>
      <c r="K392">
        <v>0.6</v>
      </c>
      <c r="L392">
        <v>5.2</v>
      </c>
      <c r="M392" s="1">
        <v>3237480</v>
      </c>
      <c r="N392" s="2">
        <f>IF(O392="US",1,0)</f>
        <v>1</v>
      </c>
      <c r="O392" t="s">
        <v>21</v>
      </c>
    </row>
    <row r="393" spans="1:15">
      <c r="A393" t="s">
        <v>413</v>
      </c>
      <c r="B393" t="s">
        <v>16</v>
      </c>
      <c r="C393">
        <f>IF(B393="east",1,0)</f>
        <v>0</v>
      </c>
      <c r="D393" t="s">
        <v>29</v>
      </c>
      <c r="E393">
        <f>IF(D393="Guard",1,0)</f>
        <v>0</v>
      </c>
      <c r="F393">
        <f>IF(D393="Forward",1,0)</f>
        <v>0</v>
      </c>
      <c r="G393">
        <v>28</v>
      </c>
      <c r="H393">
        <v>42</v>
      </c>
      <c r="I393">
        <v>13.1</v>
      </c>
      <c r="J393">
        <v>3</v>
      </c>
      <c r="K393">
        <v>0.5</v>
      </c>
      <c r="L393">
        <v>5.2</v>
      </c>
      <c r="M393" s="1">
        <v>3080921</v>
      </c>
      <c r="N393" s="2">
        <f>IF(O393="US",1,0)</f>
        <v>1</v>
      </c>
      <c r="O393" t="s">
        <v>21</v>
      </c>
    </row>
    <row r="394" spans="1:15">
      <c r="A394" t="s">
        <v>414</v>
      </c>
      <c r="B394" t="s">
        <v>23</v>
      </c>
      <c r="C394">
        <f>IF(B394="east",1,0)</f>
        <v>1</v>
      </c>
      <c r="D394" t="s">
        <v>17</v>
      </c>
      <c r="E394">
        <f>IF(D394="Guard",1,0)</f>
        <v>1</v>
      </c>
      <c r="F394">
        <f>IF(D394="Forward",1,0)</f>
        <v>0</v>
      </c>
      <c r="G394">
        <v>25</v>
      </c>
      <c r="H394">
        <v>38</v>
      </c>
      <c r="I394">
        <v>12</v>
      </c>
      <c r="J394">
        <v>1</v>
      </c>
      <c r="K394">
        <v>2</v>
      </c>
      <c r="L394">
        <v>5.2</v>
      </c>
      <c r="M394" s="1">
        <v>2886720</v>
      </c>
      <c r="N394" s="2">
        <f>IF(O394="US",1,0)</f>
        <v>1</v>
      </c>
      <c r="O394" t="s">
        <v>21</v>
      </c>
    </row>
    <row r="395" spans="1:15">
      <c r="A395" t="s">
        <v>415</v>
      </c>
      <c r="B395" t="s">
        <v>16</v>
      </c>
      <c r="C395">
        <f>IF(B395="east",1,0)</f>
        <v>0</v>
      </c>
      <c r="D395" t="s">
        <v>17</v>
      </c>
      <c r="E395">
        <f>IF(D395="Guard",1,0)</f>
        <v>1</v>
      </c>
      <c r="F395">
        <f>IF(D395="Forward",1,0)</f>
        <v>0</v>
      </c>
      <c r="G395">
        <v>26</v>
      </c>
      <c r="H395">
        <v>50</v>
      </c>
      <c r="I395">
        <v>16.100000000000001</v>
      </c>
      <c r="J395">
        <v>2.2999999999999998</v>
      </c>
      <c r="K395">
        <v>2.2999999999999998</v>
      </c>
      <c r="L395">
        <v>5.2</v>
      </c>
      <c r="M395" s="1">
        <v>2221677</v>
      </c>
      <c r="N395" s="2">
        <f>IF(O395="US",1,0)</f>
        <v>1</v>
      </c>
      <c r="O395" t="s">
        <v>21</v>
      </c>
    </row>
    <row r="396" spans="1:15">
      <c r="A396" t="s">
        <v>416</v>
      </c>
      <c r="B396" t="s">
        <v>23</v>
      </c>
      <c r="C396">
        <f>IF(B396="east",1,0)</f>
        <v>1</v>
      </c>
      <c r="D396" t="s">
        <v>17</v>
      </c>
      <c r="E396">
        <f>IF(D396="Guard",1,0)</f>
        <v>1</v>
      </c>
      <c r="F396">
        <f>IF(D396="Forward",1,0)</f>
        <v>0</v>
      </c>
      <c r="G396">
        <v>29</v>
      </c>
      <c r="H396">
        <v>15</v>
      </c>
      <c r="I396">
        <v>13.1</v>
      </c>
      <c r="J396">
        <v>1.1000000000000001</v>
      </c>
      <c r="K396">
        <v>0.7</v>
      </c>
      <c r="L396">
        <v>5.2</v>
      </c>
      <c r="M396" s="1">
        <v>297355</v>
      </c>
      <c r="N396" s="2">
        <f>IF(O396="US",1,0)</f>
        <v>1</v>
      </c>
      <c r="O396" t="s">
        <v>21</v>
      </c>
    </row>
    <row r="397" spans="1:15">
      <c r="A397" t="s">
        <v>417</v>
      </c>
      <c r="B397" t="s">
        <v>16</v>
      </c>
      <c r="C397">
        <f>IF(B397="east",1,0)</f>
        <v>0</v>
      </c>
      <c r="D397" t="s">
        <v>17</v>
      </c>
      <c r="E397">
        <f>IF(D397="Guard",1,0)</f>
        <v>1</v>
      </c>
      <c r="F397">
        <f>IF(D397="Forward",1,0)</f>
        <v>0</v>
      </c>
      <c r="G397">
        <v>22</v>
      </c>
      <c r="H397">
        <v>9</v>
      </c>
      <c r="I397">
        <v>12.3</v>
      </c>
      <c r="J397">
        <v>1.2</v>
      </c>
      <c r="K397">
        <v>1</v>
      </c>
      <c r="L397">
        <v>5.2</v>
      </c>
      <c r="M397" s="1">
        <v>85300</v>
      </c>
      <c r="N397" s="2">
        <f>IF(O397="US",1,0)</f>
        <v>1</v>
      </c>
      <c r="O397" t="s">
        <v>21</v>
      </c>
    </row>
    <row r="398" spans="1:15">
      <c r="A398" t="s">
        <v>418</v>
      </c>
      <c r="B398" t="s">
        <v>16</v>
      </c>
      <c r="C398">
        <f>IF(B398="east",1,0)</f>
        <v>0</v>
      </c>
      <c r="D398" t="s">
        <v>24</v>
      </c>
      <c r="E398">
        <f>IF(D398="Guard",1,0)</f>
        <v>0</v>
      </c>
      <c r="F398">
        <f>IF(D398="Forward",1,0)</f>
        <v>1</v>
      </c>
      <c r="G398">
        <v>25</v>
      </c>
      <c r="H398">
        <v>5</v>
      </c>
      <c r="I398">
        <v>33.799999999999997</v>
      </c>
      <c r="J398">
        <v>8.4</v>
      </c>
      <c r="K398">
        <v>2.8</v>
      </c>
      <c r="L398">
        <v>5.2</v>
      </c>
      <c r="M398" s="1">
        <v>73153</v>
      </c>
      <c r="N398" s="2">
        <f>IF(O398="US",1,0)</f>
        <v>0</v>
      </c>
      <c r="O398" t="s">
        <v>18</v>
      </c>
    </row>
    <row r="399" spans="1:15">
      <c r="A399" t="s">
        <v>419</v>
      </c>
      <c r="B399" t="s">
        <v>23</v>
      </c>
      <c r="C399">
        <f>IF(B399="east",1,0)</f>
        <v>1</v>
      </c>
      <c r="D399" t="s">
        <v>17</v>
      </c>
      <c r="E399">
        <f>IF(D399="Guard",1,0)</f>
        <v>1</v>
      </c>
      <c r="F399">
        <f>IF(D399="Forward",1,0)</f>
        <v>0</v>
      </c>
      <c r="G399">
        <v>25</v>
      </c>
      <c r="H399">
        <v>62</v>
      </c>
      <c r="I399">
        <v>15.7</v>
      </c>
      <c r="J399">
        <v>2.2999999999999998</v>
      </c>
      <c r="K399">
        <v>0.8</v>
      </c>
      <c r="L399">
        <v>5.0999999999999996</v>
      </c>
      <c r="M399" s="1">
        <v>6383525</v>
      </c>
      <c r="N399" s="2">
        <f>IF(O399="US",1,0)</f>
        <v>1</v>
      </c>
      <c r="O399" t="s">
        <v>21</v>
      </c>
    </row>
    <row r="400" spans="1:15">
      <c r="A400" t="s">
        <v>420</v>
      </c>
      <c r="B400" t="s">
        <v>16</v>
      </c>
      <c r="C400">
        <f>IF(B400="east",1,0)</f>
        <v>0</v>
      </c>
      <c r="D400" t="s">
        <v>17</v>
      </c>
      <c r="E400">
        <f>IF(D400="Guard",1,0)</f>
        <v>1</v>
      </c>
      <c r="F400">
        <f>IF(D400="Forward",1,0)</f>
        <v>0</v>
      </c>
      <c r="G400">
        <v>23</v>
      </c>
      <c r="H400">
        <v>51</v>
      </c>
      <c r="I400">
        <v>13.6</v>
      </c>
      <c r="J400">
        <v>1.7</v>
      </c>
      <c r="K400">
        <v>0.8</v>
      </c>
      <c r="L400">
        <v>5.0999999999999996</v>
      </c>
      <c r="M400" s="1">
        <v>4741320</v>
      </c>
      <c r="N400" s="2">
        <f>IF(O400="US",1,0)</f>
        <v>1</v>
      </c>
      <c r="O400" t="s">
        <v>21</v>
      </c>
    </row>
    <row r="401" spans="1:15">
      <c r="A401" t="s">
        <v>421</v>
      </c>
      <c r="B401" t="s">
        <v>23</v>
      </c>
      <c r="C401">
        <f>IF(B401="east",1,0)</f>
        <v>1</v>
      </c>
      <c r="D401" t="s">
        <v>17</v>
      </c>
      <c r="E401">
        <f>IF(D401="Guard",1,0)</f>
        <v>1</v>
      </c>
      <c r="F401">
        <f>IF(D401="Forward",1,0)</f>
        <v>0</v>
      </c>
      <c r="G401">
        <v>21</v>
      </c>
      <c r="H401">
        <v>35</v>
      </c>
      <c r="I401">
        <v>18.399999999999999</v>
      </c>
      <c r="J401">
        <v>4.4000000000000004</v>
      </c>
      <c r="K401">
        <v>1.2</v>
      </c>
      <c r="L401">
        <v>5.0999999999999996</v>
      </c>
      <c r="M401" s="1">
        <v>1955377</v>
      </c>
      <c r="N401" s="2">
        <f>IF(O401="US",1,0)</f>
        <v>0</v>
      </c>
      <c r="O401" t="s">
        <v>18</v>
      </c>
    </row>
    <row r="402" spans="1:15">
      <c r="A402" t="s">
        <v>422</v>
      </c>
      <c r="B402" t="s">
        <v>16</v>
      </c>
      <c r="C402">
        <f>IF(B402="east",1,0)</f>
        <v>0</v>
      </c>
      <c r="D402" t="s">
        <v>24</v>
      </c>
      <c r="E402">
        <f>IF(D402="Guard",1,0)</f>
        <v>0</v>
      </c>
      <c r="F402">
        <f>IF(D402="Forward",1,0)</f>
        <v>1</v>
      </c>
      <c r="G402">
        <v>21</v>
      </c>
      <c r="H402">
        <v>75</v>
      </c>
      <c r="I402">
        <v>19.100000000000001</v>
      </c>
      <c r="J402">
        <v>2.2000000000000002</v>
      </c>
      <c r="K402">
        <v>1.5</v>
      </c>
      <c r="L402">
        <v>5.0999999999999996</v>
      </c>
      <c r="M402" s="1">
        <v>686243</v>
      </c>
      <c r="N402" s="2">
        <f>IF(O402="US",1,0)</f>
        <v>0</v>
      </c>
      <c r="O402" t="s">
        <v>18</v>
      </c>
    </row>
    <row r="403" spans="1:15">
      <c r="A403" t="s">
        <v>423</v>
      </c>
      <c r="B403" t="s">
        <v>23</v>
      </c>
      <c r="C403">
        <f>IF(B403="east",1,0)</f>
        <v>1</v>
      </c>
      <c r="D403" t="s">
        <v>29</v>
      </c>
      <c r="E403">
        <f>IF(D403="Guard",1,0)</f>
        <v>0</v>
      </c>
      <c r="F403">
        <f>IF(D403="Forward",1,0)</f>
        <v>0</v>
      </c>
      <c r="G403">
        <v>27</v>
      </c>
      <c r="H403">
        <v>67</v>
      </c>
      <c r="I403">
        <v>19.7</v>
      </c>
      <c r="J403">
        <v>5.5</v>
      </c>
      <c r="K403">
        <v>1.6</v>
      </c>
      <c r="L403">
        <v>5</v>
      </c>
      <c r="M403" s="1">
        <v>2461463</v>
      </c>
      <c r="N403" s="2">
        <f>IF(O403="US",1,0)</f>
        <v>1</v>
      </c>
      <c r="O403" t="s">
        <v>21</v>
      </c>
    </row>
    <row r="404" spans="1:15">
      <c r="A404" t="s">
        <v>424</v>
      </c>
      <c r="B404" t="s">
        <v>16</v>
      </c>
      <c r="C404">
        <f>IF(B404="east",1,0)</f>
        <v>0</v>
      </c>
      <c r="D404" t="s">
        <v>17</v>
      </c>
      <c r="E404">
        <f>IF(D404="Guard",1,0)</f>
        <v>1</v>
      </c>
      <c r="F404">
        <f>IF(D404="Forward",1,0)</f>
        <v>0</v>
      </c>
      <c r="G404">
        <v>22</v>
      </c>
      <c r="H404">
        <v>31</v>
      </c>
      <c r="I404">
        <v>11.6</v>
      </c>
      <c r="J404">
        <v>1.3</v>
      </c>
      <c r="K404">
        <v>2</v>
      </c>
      <c r="L404">
        <v>4.8</v>
      </c>
      <c r="M404" s="1">
        <v>2378870</v>
      </c>
      <c r="N404" s="2">
        <f>IF(O404="US",1,0)</f>
        <v>1</v>
      </c>
      <c r="O404" t="s">
        <v>21</v>
      </c>
    </row>
    <row r="405" spans="1:15">
      <c r="A405" t="s">
        <v>425</v>
      </c>
      <c r="B405" t="s">
        <v>23</v>
      </c>
      <c r="C405">
        <f>IF(B405="east",1,0)</f>
        <v>1</v>
      </c>
      <c r="D405" t="s">
        <v>29</v>
      </c>
      <c r="E405">
        <f>IF(D405="Guard",1,0)</f>
        <v>0</v>
      </c>
      <c r="F405">
        <f>IF(D405="Forward",1,0)</f>
        <v>0</v>
      </c>
      <c r="G405">
        <v>22</v>
      </c>
      <c r="H405">
        <v>71</v>
      </c>
      <c r="I405">
        <v>17.399999999999999</v>
      </c>
      <c r="J405">
        <v>4.3</v>
      </c>
      <c r="K405">
        <v>0.5</v>
      </c>
      <c r="L405">
        <v>4.8</v>
      </c>
      <c r="M405" s="1">
        <v>1955377</v>
      </c>
      <c r="N405" s="2">
        <f>IF(O405="US",1,0)</f>
        <v>0</v>
      </c>
      <c r="O405" t="s">
        <v>18</v>
      </c>
    </row>
    <row r="406" spans="1:15">
      <c r="A406" t="s">
        <v>426</v>
      </c>
      <c r="B406" t="s">
        <v>16</v>
      </c>
      <c r="C406">
        <f>IF(B406="east",1,0)</f>
        <v>0</v>
      </c>
      <c r="D406" t="s">
        <v>24</v>
      </c>
      <c r="E406">
        <f>IF(D406="Guard",1,0)</f>
        <v>0</v>
      </c>
      <c r="F406">
        <f>IF(D406="Forward",1,0)</f>
        <v>1</v>
      </c>
      <c r="G406">
        <v>21</v>
      </c>
      <c r="H406">
        <v>12</v>
      </c>
      <c r="I406">
        <v>13.8</v>
      </c>
      <c r="J406">
        <v>2.8</v>
      </c>
      <c r="K406">
        <v>0.4</v>
      </c>
      <c r="L406">
        <v>4.7</v>
      </c>
      <c r="M406" s="1">
        <v>2197957</v>
      </c>
      <c r="N406" s="2">
        <f>IF(O406="US",1,0)</f>
        <v>1</v>
      </c>
      <c r="O406" t="s">
        <v>21</v>
      </c>
    </row>
    <row r="407" spans="1:15">
      <c r="A407" t="s">
        <v>427</v>
      </c>
      <c r="B407" t="s">
        <v>23</v>
      </c>
      <c r="C407">
        <f>IF(B407="east",1,0)</f>
        <v>1</v>
      </c>
      <c r="D407" t="s">
        <v>17</v>
      </c>
      <c r="E407">
        <f>IF(D407="Guard",1,0)</f>
        <v>1</v>
      </c>
      <c r="F407">
        <f>IF(D407="Forward",1,0)</f>
        <v>0</v>
      </c>
      <c r="G407">
        <v>28</v>
      </c>
      <c r="H407">
        <v>35</v>
      </c>
      <c r="I407">
        <v>20.8</v>
      </c>
      <c r="J407">
        <v>4</v>
      </c>
      <c r="K407">
        <v>3.9</v>
      </c>
      <c r="L407">
        <v>4.5999999999999996</v>
      </c>
      <c r="M407" s="1">
        <v>10000000</v>
      </c>
      <c r="N407" s="2">
        <f>IF(O407="US",1,0)</f>
        <v>1</v>
      </c>
      <c r="O407" t="s">
        <v>21</v>
      </c>
    </row>
    <row r="408" spans="1:15">
      <c r="A408" t="s">
        <v>428</v>
      </c>
      <c r="B408" t="s">
        <v>23</v>
      </c>
      <c r="C408">
        <f>IF(B408="east",1,0)</f>
        <v>1</v>
      </c>
      <c r="D408" t="s">
        <v>17</v>
      </c>
      <c r="E408">
        <f>IF(D408="Guard",1,0)</f>
        <v>1</v>
      </c>
      <c r="F408">
        <f>IF(D408="Forward",1,0)</f>
        <v>0</v>
      </c>
      <c r="G408">
        <v>22</v>
      </c>
      <c r="H408">
        <v>28</v>
      </c>
      <c r="I408">
        <v>9.8000000000000007</v>
      </c>
      <c r="J408">
        <v>1.6</v>
      </c>
      <c r="K408">
        <v>0.8</v>
      </c>
      <c r="L408">
        <v>4.5999999999999996</v>
      </c>
      <c r="M408" s="1">
        <v>4933515</v>
      </c>
      <c r="N408" s="2">
        <f>IF(O408="US",1,0)</f>
        <v>1</v>
      </c>
      <c r="O408" t="s">
        <v>21</v>
      </c>
    </row>
    <row r="409" spans="1:15">
      <c r="A409" t="s">
        <v>429</v>
      </c>
      <c r="B409" t="s">
        <v>16</v>
      </c>
      <c r="C409">
        <f>IF(B409="east",1,0)</f>
        <v>0</v>
      </c>
      <c r="D409" t="s">
        <v>17</v>
      </c>
      <c r="E409">
        <f>IF(D409="Guard",1,0)</f>
        <v>1</v>
      </c>
      <c r="F409">
        <f>IF(D409="Forward",1,0)</f>
        <v>0</v>
      </c>
      <c r="G409">
        <v>24</v>
      </c>
      <c r="H409">
        <v>5</v>
      </c>
      <c r="I409">
        <v>8.6</v>
      </c>
      <c r="J409">
        <v>0.6</v>
      </c>
      <c r="K409">
        <v>1.8</v>
      </c>
      <c r="L409">
        <v>4.5999999999999996</v>
      </c>
      <c r="M409" s="1">
        <v>157280</v>
      </c>
      <c r="N409" s="2">
        <f>IF(O409="US",1,0)</f>
        <v>1</v>
      </c>
      <c r="O409" t="s">
        <v>21</v>
      </c>
    </row>
    <row r="410" spans="1:15">
      <c r="A410" t="s">
        <v>430</v>
      </c>
      <c r="B410" t="s">
        <v>16</v>
      </c>
      <c r="C410">
        <f>IF(B410="east",1,0)</f>
        <v>0</v>
      </c>
      <c r="D410" t="s">
        <v>17</v>
      </c>
      <c r="E410">
        <f>IF(D410="Guard",1,0)</f>
        <v>1</v>
      </c>
      <c r="F410">
        <f>IF(D410="Forward",1,0)</f>
        <v>0</v>
      </c>
      <c r="G410">
        <v>27</v>
      </c>
      <c r="H410">
        <v>78</v>
      </c>
      <c r="I410">
        <v>17.399999999999999</v>
      </c>
      <c r="J410">
        <v>2.6</v>
      </c>
      <c r="K410">
        <v>0.9</v>
      </c>
      <c r="L410">
        <v>4.5</v>
      </c>
      <c r="M410" s="1">
        <v>3080921</v>
      </c>
      <c r="N410" s="2">
        <f>IF(O410="US",1,0)</f>
        <v>0</v>
      </c>
      <c r="O410" t="s">
        <v>18</v>
      </c>
    </row>
    <row r="411" spans="1:15">
      <c r="A411" t="s">
        <v>431</v>
      </c>
      <c r="B411" t="s">
        <v>23</v>
      </c>
      <c r="C411">
        <f>IF(B411="east",1,0)</f>
        <v>1</v>
      </c>
      <c r="D411" t="s">
        <v>17</v>
      </c>
      <c r="E411">
        <f>IF(D411="Guard",1,0)</f>
        <v>1</v>
      </c>
      <c r="F411">
        <f>IF(D411="Forward",1,0)</f>
        <v>0</v>
      </c>
      <c r="G411">
        <v>25</v>
      </c>
      <c r="H411">
        <v>64</v>
      </c>
      <c r="I411">
        <v>17.899999999999999</v>
      </c>
      <c r="J411">
        <v>3.4</v>
      </c>
      <c r="K411">
        <v>3.2</v>
      </c>
      <c r="L411">
        <v>4.5</v>
      </c>
      <c r="M411" s="1">
        <v>2221677</v>
      </c>
      <c r="N411" s="2">
        <f>IF(O411="US",1,0)</f>
        <v>1</v>
      </c>
      <c r="O411" t="s">
        <v>21</v>
      </c>
    </row>
    <row r="412" spans="1:15">
      <c r="A412" t="s">
        <v>432</v>
      </c>
      <c r="B412" t="s">
        <v>16</v>
      </c>
      <c r="C412">
        <f>IF(B412="east",1,0)</f>
        <v>0</v>
      </c>
      <c r="D412" t="s">
        <v>17</v>
      </c>
      <c r="E412">
        <f>IF(D412="Guard",1,0)</f>
        <v>1</v>
      </c>
      <c r="F412">
        <f>IF(D412="Forward",1,0)</f>
        <v>0</v>
      </c>
      <c r="G412">
        <v>38</v>
      </c>
      <c r="H412">
        <v>54</v>
      </c>
      <c r="I412">
        <v>18.399999999999999</v>
      </c>
      <c r="J412">
        <v>1.7</v>
      </c>
      <c r="K412">
        <v>2.9</v>
      </c>
      <c r="L412">
        <v>4.5</v>
      </c>
      <c r="M412" s="1">
        <v>1148727</v>
      </c>
      <c r="N412" s="2">
        <f>IF(O412="US",1,0)</f>
        <v>1</v>
      </c>
      <c r="O412" t="s">
        <v>21</v>
      </c>
    </row>
    <row r="413" spans="1:15">
      <c r="A413" t="s">
        <v>433</v>
      </c>
      <c r="B413" t="s">
        <v>23</v>
      </c>
      <c r="C413">
        <f>IF(B413="east",1,0)</f>
        <v>1</v>
      </c>
      <c r="D413" t="s">
        <v>29</v>
      </c>
      <c r="E413">
        <f>IF(D413="Guard",1,0)</f>
        <v>0</v>
      </c>
      <c r="F413">
        <f>IF(D413="Forward",1,0)</f>
        <v>0</v>
      </c>
      <c r="G413">
        <v>23</v>
      </c>
      <c r="H413">
        <v>19</v>
      </c>
      <c r="I413">
        <v>11.3</v>
      </c>
      <c r="J413">
        <v>3.9</v>
      </c>
      <c r="K413">
        <v>0.5</v>
      </c>
      <c r="L413">
        <v>4.5</v>
      </c>
      <c r="M413" s="1">
        <v>85300</v>
      </c>
      <c r="N413" s="2">
        <f>IF(O413="US",1,0)</f>
        <v>1</v>
      </c>
      <c r="O413" t="s">
        <v>21</v>
      </c>
    </row>
    <row r="414" spans="1:15">
      <c r="A414" t="s">
        <v>434</v>
      </c>
      <c r="B414" t="s">
        <v>16</v>
      </c>
      <c r="C414">
        <f>IF(B414="east",1,0)</f>
        <v>0</v>
      </c>
      <c r="D414" t="s">
        <v>29</v>
      </c>
      <c r="E414">
        <f>IF(D414="Guard",1,0)</f>
        <v>0</v>
      </c>
      <c r="F414">
        <f>IF(D414="Forward",1,0)</f>
        <v>0</v>
      </c>
      <c r="G414">
        <v>23</v>
      </c>
      <c r="H414">
        <v>38</v>
      </c>
      <c r="I414">
        <v>13.9</v>
      </c>
      <c r="J414">
        <v>5.7</v>
      </c>
      <c r="K414">
        <v>0.2</v>
      </c>
      <c r="L414">
        <v>4.5</v>
      </c>
      <c r="M414" s="1">
        <v>85300</v>
      </c>
      <c r="N414" s="2">
        <f>IF(O414="US",1,0)</f>
        <v>0</v>
      </c>
      <c r="O414" t="s">
        <v>18</v>
      </c>
    </row>
    <row r="415" spans="1:15">
      <c r="A415" t="s">
        <v>435</v>
      </c>
      <c r="B415" t="s">
        <v>23</v>
      </c>
      <c r="C415">
        <f>IF(B415="east",1,0)</f>
        <v>1</v>
      </c>
      <c r="D415" t="s">
        <v>17</v>
      </c>
      <c r="E415">
        <f>IF(D415="Guard",1,0)</f>
        <v>1</v>
      </c>
      <c r="F415">
        <f>IF(D415="Forward",1,0)</f>
        <v>0</v>
      </c>
      <c r="G415">
        <v>23</v>
      </c>
      <c r="H415">
        <v>38</v>
      </c>
      <c r="I415">
        <v>12.9</v>
      </c>
      <c r="J415">
        <v>1.6</v>
      </c>
      <c r="K415">
        <v>1.1000000000000001</v>
      </c>
      <c r="L415">
        <v>4.5</v>
      </c>
      <c r="M415" s="1">
        <v>85300</v>
      </c>
      <c r="N415" s="2">
        <f>IF(O415="US",1,0)</f>
        <v>1</v>
      </c>
      <c r="O415" t="s">
        <v>21</v>
      </c>
    </row>
    <row r="416" spans="1:15">
      <c r="A416" t="s">
        <v>436</v>
      </c>
      <c r="B416" t="s">
        <v>16</v>
      </c>
      <c r="C416">
        <f>IF(B416="east",1,0)</f>
        <v>0</v>
      </c>
      <c r="D416" t="s">
        <v>24</v>
      </c>
      <c r="E416">
        <f>IF(D416="Guard",1,0)</f>
        <v>0</v>
      </c>
      <c r="F416">
        <f>IF(D416="Forward",1,0)</f>
        <v>1</v>
      </c>
      <c r="G416">
        <v>26</v>
      </c>
      <c r="H416">
        <v>65</v>
      </c>
      <c r="I416">
        <v>17.399999999999999</v>
      </c>
      <c r="J416">
        <v>4.5</v>
      </c>
      <c r="K416">
        <v>1.3</v>
      </c>
      <c r="L416">
        <v>4.4000000000000004</v>
      </c>
      <c r="M416" s="1">
        <v>11571429</v>
      </c>
      <c r="N416" s="2">
        <f>IF(O416="US",1,0)</f>
        <v>1</v>
      </c>
      <c r="O416" t="s">
        <v>21</v>
      </c>
    </row>
    <row r="417" spans="1:15">
      <c r="A417" t="s">
        <v>437</v>
      </c>
      <c r="B417" t="s">
        <v>23</v>
      </c>
      <c r="C417">
        <f>IF(B417="east",1,0)</f>
        <v>1</v>
      </c>
      <c r="D417" t="s">
        <v>17</v>
      </c>
      <c r="E417">
        <f>IF(D417="Guard",1,0)</f>
        <v>1</v>
      </c>
      <c r="F417">
        <f>IF(D417="Forward",1,0)</f>
        <v>0</v>
      </c>
      <c r="G417">
        <v>29</v>
      </c>
      <c r="H417">
        <v>53</v>
      </c>
      <c r="I417">
        <v>16.600000000000001</v>
      </c>
      <c r="J417">
        <v>1</v>
      </c>
      <c r="K417">
        <v>1.4</v>
      </c>
      <c r="L417">
        <v>4.4000000000000004</v>
      </c>
      <c r="M417" s="1">
        <v>11500000</v>
      </c>
      <c r="N417" s="2">
        <f>IF(O417="US",1,0)</f>
        <v>1</v>
      </c>
      <c r="O417" t="s">
        <v>21</v>
      </c>
    </row>
    <row r="418" spans="1:15">
      <c r="A418" t="s">
        <v>438</v>
      </c>
      <c r="B418" t="s">
        <v>16</v>
      </c>
      <c r="C418">
        <f>IF(B418="east",1,0)</f>
        <v>0</v>
      </c>
      <c r="D418" t="s">
        <v>17</v>
      </c>
      <c r="E418">
        <f>IF(D418="Guard",1,0)</f>
        <v>1</v>
      </c>
      <c r="F418">
        <f>IF(D418="Forward",1,0)</f>
        <v>0</v>
      </c>
      <c r="G418">
        <v>29</v>
      </c>
      <c r="H418">
        <v>56</v>
      </c>
      <c r="I418">
        <v>19.899999999999999</v>
      </c>
      <c r="J418">
        <v>4.3</v>
      </c>
      <c r="K418">
        <v>2.1</v>
      </c>
      <c r="L418">
        <v>4.4000000000000004</v>
      </c>
      <c r="M418" s="1">
        <v>6165000</v>
      </c>
      <c r="N418" s="2">
        <f>IF(O418="US",1,0)</f>
        <v>1</v>
      </c>
      <c r="O418" t="s">
        <v>21</v>
      </c>
    </row>
    <row r="419" spans="1:15">
      <c r="A419" t="s">
        <v>439</v>
      </c>
      <c r="B419" t="s">
        <v>16</v>
      </c>
      <c r="C419">
        <f>IF(B419="east",1,0)</f>
        <v>0</v>
      </c>
      <c r="D419" t="s">
        <v>29</v>
      </c>
      <c r="E419">
        <f>IF(D419="Guard",1,0)</f>
        <v>0</v>
      </c>
      <c r="F419">
        <f>IF(D419="Forward",1,0)</f>
        <v>0</v>
      </c>
      <c r="G419">
        <v>37</v>
      </c>
      <c r="H419">
        <v>12</v>
      </c>
      <c r="I419">
        <v>16.600000000000001</v>
      </c>
      <c r="J419">
        <v>6.3</v>
      </c>
      <c r="K419">
        <v>0.9</v>
      </c>
      <c r="L419">
        <v>4.4000000000000004</v>
      </c>
      <c r="M419" s="1">
        <v>3592381</v>
      </c>
      <c r="N419" s="2">
        <f>IF(O419="US",1,0)</f>
        <v>1</v>
      </c>
      <c r="O419" t="s">
        <v>21</v>
      </c>
    </row>
    <row r="420" spans="1:15">
      <c r="A420" t="s">
        <v>440</v>
      </c>
      <c r="B420" t="s">
        <v>23</v>
      </c>
      <c r="C420">
        <f>IF(B420="east",1,0)</f>
        <v>1</v>
      </c>
      <c r="D420" t="s">
        <v>17</v>
      </c>
      <c r="E420">
        <f>IF(D420="Guard",1,0)</f>
        <v>1</v>
      </c>
      <c r="F420">
        <f>IF(D420="Forward",1,0)</f>
        <v>0</v>
      </c>
      <c r="G420">
        <v>20</v>
      </c>
      <c r="H420">
        <v>54</v>
      </c>
      <c r="I420">
        <v>10.9</v>
      </c>
      <c r="J420">
        <v>1.2</v>
      </c>
      <c r="K420">
        <v>1.1000000000000001</v>
      </c>
      <c r="L420">
        <v>4.4000000000000004</v>
      </c>
      <c r="M420" s="1">
        <v>2983320</v>
      </c>
      <c r="N420" s="2">
        <f>IF(O420="US",1,0)</f>
        <v>1</v>
      </c>
      <c r="O420" t="s">
        <v>21</v>
      </c>
    </row>
    <row r="421" spans="1:15">
      <c r="A421" t="s">
        <v>441</v>
      </c>
      <c r="B421" t="s">
        <v>23</v>
      </c>
      <c r="C421">
        <f>IF(B421="east",1,0)</f>
        <v>1</v>
      </c>
      <c r="D421" t="s">
        <v>24</v>
      </c>
      <c r="E421">
        <f>IF(D421="Guard",1,0)</f>
        <v>0</v>
      </c>
      <c r="F421">
        <f>IF(D421="Forward",1,0)</f>
        <v>1</v>
      </c>
      <c r="G421">
        <v>23</v>
      </c>
      <c r="H421">
        <v>77</v>
      </c>
      <c r="I421">
        <v>15.3</v>
      </c>
      <c r="J421">
        <v>3.6</v>
      </c>
      <c r="K421">
        <v>0.9</v>
      </c>
      <c r="L421">
        <v>4.4000000000000004</v>
      </c>
      <c r="M421" s="1">
        <v>2221677</v>
      </c>
      <c r="N421" s="2">
        <f>IF(O421="US",1,0)</f>
        <v>0</v>
      </c>
      <c r="O421" t="s">
        <v>18</v>
      </c>
    </row>
    <row r="422" spans="1:15">
      <c r="A422" t="s">
        <v>442</v>
      </c>
      <c r="B422" t="s">
        <v>23</v>
      </c>
      <c r="C422">
        <f>IF(B422="east",1,0)</f>
        <v>1</v>
      </c>
      <c r="D422" t="s">
        <v>17</v>
      </c>
      <c r="E422">
        <f>IF(D422="Guard",1,0)</f>
        <v>1</v>
      </c>
      <c r="F422">
        <f>IF(D422="Forward",1,0)</f>
        <v>0</v>
      </c>
      <c r="G422">
        <v>24</v>
      </c>
      <c r="H422">
        <v>62</v>
      </c>
      <c r="I422">
        <v>11.7</v>
      </c>
      <c r="J422">
        <v>1.6</v>
      </c>
      <c r="K422">
        <v>2.7</v>
      </c>
      <c r="L422">
        <v>4.4000000000000004</v>
      </c>
      <c r="M422" s="1">
        <v>2191897</v>
      </c>
      <c r="N422" s="2">
        <f>IF(O422="US",1,0)</f>
        <v>1</v>
      </c>
      <c r="O422" t="s">
        <v>21</v>
      </c>
    </row>
    <row r="423" spans="1:15">
      <c r="A423" t="s">
        <v>443</v>
      </c>
      <c r="B423" t="s">
        <v>23</v>
      </c>
      <c r="C423">
        <f>IF(B423="east",1,0)</f>
        <v>1</v>
      </c>
      <c r="D423" t="s">
        <v>17</v>
      </c>
      <c r="E423">
        <f>IF(D423="Guard",1,0)</f>
        <v>1</v>
      </c>
      <c r="F423">
        <f>IF(D423="Forward",1,0)</f>
        <v>0</v>
      </c>
      <c r="G423">
        <v>23</v>
      </c>
      <c r="H423">
        <v>37</v>
      </c>
      <c r="I423">
        <v>16.600000000000001</v>
      </c>
      <c r="J423">
        <v>1.6</v>
      </c>
      <c r="K423">
        <v>3.2</v>
      </c>
      <c r="L423">
        <v>4.4000000000000004</v>
      </c>
      <c r="M423" s="1">
        <v>1272870</v>
      </c>
      <c r="N423" s="2">
        <f>IF(O423="US",1,0)</f>
        <v>1</v>
      </c>
      <c r="O423" t="s">
        <v>21</v>
      </c>
    </row>
    <row r="424" spans="1:15">
      <c r="A424" t="s">
        <v>444</v>
      </c>
      <c r="B424" t="s">
        <v>23</v>
      </c>
      <c r="C424">
        <f>IF(B424="east",1,0)</f>
        <v>1</v>
      </c>
      <c r="D424" t="s">
        <v>17</v>
      </c>
      <c r="E424">
        <f>IF(D424="Guard",1,0)</f>
        <v>1</v>
      </c>
      <c r="F424">
        <f>IF(D424="Forward",1,0)</f>
        <v>0</v>
      </c>
      <c r="G424">
        <v>25</v>
      </c>
      <c r="H424">
        <v>58</v>
      </c>
      <c r="I424">
        <v>15.7</v>
      </c>
      <c r="J424">
        <v>1.8</v>
      </c>
      <c r="K424">
        <v>0.8</v>
      </c>
      <c r="L424">
        <v>4.3</v>
      </c>
      <c r="M424" s="1">
        <v>13666667</v>
      </c>
      <c r="N424" s="2">
        <f>IF(O424="US",1,0)</f>
        <v>0</v>
      </c>
      <c r="O424" t="s">
        <v>18</v>
      </c>
    </row>
    <row r="425" spans="1:15">
      <c r="A425" t="s">
        <v>445</v>
      </c>
      <c r="B425" t="s">
        <v>16</v>
      </c>
      <c r="C425">
        <f>IF(B425="east",1,0)</f>
        <v>0</v>
      </c>
      <c r="D425" t="s">
        <v>29</v>
      </c>
      <c r="E425">
        <f>IF(D425="Guard",1,0)</f>
        <v>0</v>
      </c>
      <c r="F425">
        <f>IF(D425="Forward",1,0)</f>
        <v>0</v>
      </c>
      <c r="G425">
        <v>21</v>
      </c>
      <c r="H425">
        <v>7</v>
      </c>
      <c r="I425">
        <v>16.399999999999999</v>
      </c>
      <c r="J425">
        <v>5.3</v>
      </c>
      <c r="K425">
        <v>1.9</v>
      </c>
      <c r="L425">
        <v>4.3</v>
      </c>
      <c r="M425" s="1">
        <v>5253360</v>
      </c>
      <c r="N425" s="2">
        <f>IF(O425="US",1,0)</f>
        <v>1</v>
      </c>
      <c r="O425" t="s">
        <v>21</v>
      </c>
    </row>
    <row r="426" spans="1:15">
      <c r="A426" t="s">
        <v>446</v>
      </c>
      <c r="B426" t="s">
        <v>23</v>
      </c>
      <c r="C426">
        <f>IF(B426="east",1,0)</f>
        <v>1</v>
      </c>
      <c r="D426" t="s">
        <v>24</v>
      </c>
      <c r="E426">
        <f>IF(D426="Guard",1,0)</f>
        <v>0</v>
      </c>
      <c r="F426">
        <f>IF(D426="Forward",1,0)</f>
        <v>1</v>
      </c>
      <c r="G426">
        <v>20</v>
      </c>
      <c r="H426">
        <v>31</v>
      </c>
      <c r="I426">
        <v>11.9</v>
      </c>
      <c r="J426">
        <v>2.4</v>
      </c>
      <c r="K426">
        <v>0.8</v>
      </c>
      <c r="L426">
        <v>4.3</v>
      </c>
      <c r="M426" s="1">
        <v>2763960</v>
      </c>
      <c r="N426" s="2">
        <f>IF(O426="US",1,0)</f>
        <v>1</v>
      </c>
      <c r="O426" t="s">
        <v>21</v>
      </c>
    </row>
    <row r="427" spans="1:15">
      <c r="A427" t="s">
        <v>447</v>
      </c>
      <c r="B427" t="s">
        <v>16</v>
      </c>
      <c r="C427">
        <f>IF(B427="east",1,0)</f>
        <v>0</v>
      </c>
      <c r="D427" t="s">
        <v>29</v>
      </c>
      <c r="E427">
        <f>IF(D427="Guard",1,0)</f>
        <v>0</v>
      </c>
      <c r="F427">
        <f>IF(D427="Forward",1,0)</f>
        <v>0</v>
      </c>
      <c r="G427">
        <v>22</v>
      </c>
      <c r="H427">
        <v>41</v>
      </c>
      <c r="I427">
        <v>10.3</v>
      </c>
      <c r="J427">
        <v>2.9</v>
      </c>
      <c r="K427">
        <v>0.3</v>
      </c>
      <c r="L427">
        <v>4.3</v>
      </c>
      <c r="M427" s="1">
        <v>2743800</v>
      </c>
      <c r="N427" s="2">
        <f>IF(O427="US",1,0)</f>
        <v>0</v>
      </c>
      <c r="O427" t="s">
        <v>18</v>
      </c>
    </row>
    <row r="428" spans="1:15">
      <c r="A428" t="s">
        <v>448</v>
      </c>
      <c r="B428" t="s">
        <v>23</v>
      </c>
      <c r="C428">
        <f>IF(B428="east",1,0)</f>
        <v>1</v>
      </c>
      <c r="D428" t="s">
        <v>24</v>
      </c>
      <c r="E428">
        <f>IF(D428="Guard",1,0)</f>
        <v>0</v>
      </c>
      <c r="F428">
        <f>IF(D428="Forward",1,0)</f>
        <v>1</v>
      </c>
      <c r="G428">
        <v>24</v>
      </c>
      <c r="H428">
        <v>32</v>
      </c>
      <c r="I428">
        <v>8.8000000000000007</v>
      </c>
      <c r="J428">
        <v>1.9</v>
      </c>
      <c r="K428">
        <v>0.3</v>
      </c>
      <c r="L428">
        <v>4.3</v>
      </c>
      <c r="M428" s="1">
        <v>1955377</v>
      </c>
      <c r="N428" s="2">
        <f>IF(O428="US",1,0)</f>
        <v>1</v>
      </c>
      <c r="O428" t="s">
        <v>21</v>
      </c>
    </row>
    <row r="429" spans="1:15">
      <c r="A429" t="s">
        <v>449</v>
      </c>
      <c r="B429" t="s">
        <v>16</v>
      </c>
      <c r="C429">
        <f>IF(B429="east",1,0)</f>
        <v>0</v>
      </c>
      <c r="D429" t="s">
        <v>24</v>
      </c>
      <c r="E429">
        <f>IF(D429="Guard",1,0)</f>
        <v>0</v>
      </c>
      <c r="F429">
        <f>IF(D429="Forward",1,0)</f>
        <v>1</v>
      </c>
      <c r="G429">
        <v>21</v>
      </c>
      <c r="H429">
        <v>55</v>
      </c>
      <c r="I429">
        <v>12.2</v>
      </c>
      <c r="J429">
        <v>2.2999999999999998</v>
      </c>
      <c r="K429">
        <v>0.3</v>
      </c>
      <c r="L429">
        <v>4.3</v>
      </c>
      <c r="M429" s="1">
        <v>1272870</v>
      </c>
      <c r="N429" s="2">
        <f>IF(O429="US",1,0)</f>
        <v>1</v>
      </c>
      <c r="O429" t="s">
        <v>21</v>
      </c>
    </row>
    <row r="430" spans="1:15">
      <c r="A430" t="s">
        <v>450</v>
      </c>
      <c r="B430" t="s">
        <v>16</v>
      </c>
      <c r="C430">
        <f>IF(B430="east",1,0)</f>
        <v>0</v>
      </c>
      <c r="D430" t="s">
        <v>17</v>
      </c>
      <c r="E430">
        <f>IF(D430="Guard",1,0)</f>
        <v>1</v>
      </c>
      <c r="F430">
        <f>IF(D430="Forward",1,0)</f>
        <v>0</v>
      </c>
      <c r="G430">
        <v>24</v>
      </c>
      <c r="H430">
        <v>61</v>
      </c>
      <c r="I430">
        <v>15</v>
      </c>
      <c r="J430">
        <v>1.9</v>
      </c>
      <c r="K430">
        <v>1</v>
      </c>
      <c r="L430">
        <v>4.3</v>
      </c>
      <c r="M430" s="1">
        <v>1272870</v>
      </c>
      <c r="N430" s="2">
        <f>IF(O430="US",1,0)</f>
        <v>1</v>
      </c>
      <c r="O430" t="s">
        <v>21</v>
      </c>
    </row>
    <row r="431" spans="1:15">
      <c r="A431" t="s">
        <v>451</v>
      </c>
      <c r="B431" t="s">
        <v>23</v>
      </c>
      <c r="C431">
        <f>IF(B431="east",1,0)</f>
        <v>1</v>
      </c>
      <c r="D431" t="s">
        <v>24</v>
      </c>
      <c r="E431">
        <f>IF(D431="Guard",1,0)</f>
        <v>0</v>
      </c>
      <c r="F431">
        <f>IF(D431="Forward",1,0)</f>
        <v>1</v>
      </c>
      <c r="G431">
        <v>23</v>
      </c>
      <c r="H431">
        <v>64</v>
      </c>
      <c r="I431">
        <v>11.9</v>
      </c>
      <c r="J431">
        <v>3</v>
      </c>
      <c r="K431">
        <v>0.5</v>
      </c>
      <c r="L431">
        <v>4.3</v>
      </c>
      <c r="M431" s="1">
        <v>724598</v>
      </c>
      <c r="N431" s="2">
        <f>IF(O431="US",1,0)</f>
        <v>1</v>
      </c>
      <c r="O431" t="s">
        <v>21</v>
      </c>
    </row>
    <row r="432" spans="1:15">
      <c r="A432" t="s">
        <v>452</v>
      </c>
      <c r="B432" t="s">
        <v>23</v>
      </c>
      <c r="C432">
        <f>IF(B432="east",1,0)</f>
        <v>1</v>
      </c>
      <c r="D432" t="s">
        <v>24</v>
      </c>
      <c r="E432">
        <f>IF(D432="Guard",1,0)</f>
        <v>0</v>
      </c>
      <c r="F432">
        <f>IF(D432="Forward",1,0)</f>
        <v>1</v>
      </c>
      <c r="G432">
        <v>23</v>
      </c>
      <c r="H432">
        <v>4</v>
      </c>
      <c r="I432">
        <v>8.8000000000000007</v>
      </c>
      <c r="J432">
        <v>1.5</v>
      </c>
      <c r="K432">
        <v>1.3</v>
      </c>
      <c r="L432">
        <v>4.3</v>
      </c>
      <c r="M432" s="1">
        <v>636435</v>
      </c>
      <c r="N432" s="2">
        <f>IF(O432="US",1,0)</f>
        <v>1</v>
      </c>
      <c r="O432" t="s">
        <v>21</v>
      </c>
    </row>
    <row r="433" spans="1:15">
      <c r="A433" t="s">
        <v>453</v>
      </c>
      <c r="B433" t="s">
        <v>23</v>
      </c>
      <c r="C433">
        <f>IF(B433="east",1,0)</f>
        <v>1</v>
      </c>
      <c r="D433" t="s">
        <v>24</v>
      </c>
      <c r="E433">
        <f>IF(D433="Guard",1,0)</f>
        <v>0</v>
      </c>
      <c r="F433">
        <f>IF(D433="Forward",1,0)</f>
        <v>1</v>
      </c>
      <c r="G433">
        <v>29</v>
      </c>
      <c r="H433">
        <v>3</v>
      </c>
      <c r="I433">
        <v>12.7</v>
      </c>
      <c r="J433">
        <v>3</v>
      </c>
      <c r="K433">
        <v>1</v>
      </c>
      <c r="L433">
        <v>4.3</v>
      </c>
      <c r="M433" s="1">
        <v>153330</v>
      </c>
      <c r="N433" s="2">
        <f>IF(O433="US",1,0)</f>
        <v>0</v>
      </c>
      <c r="O433" t="s">
        <v>18</v>
      </c>
    </row>
    <row r="434" spans="1:15">
      <c r="A434" t="s">
        <v>454</v>
      </c>
      <c r="B434" t="s">
        <v>16</v>
      </c>
      <c r="C434">
        <f>IF(B434="east",1,0)</f>
        <v>0</v>
      </c>
      <c r="D434" t="s">
        <v>24</v>
      </c>
      <c r="E434">
        <f>IF(D434="Guard",1,0)</f>
        <v>0</v>
      </c>
      <c r="F434">
        <f>IF(D434="Forward",1,0)</f>
        <v>1</v>
      </c>
      <c r="G434">
        <v>20</v>
      </c>
      <c r="H434">
        <v>71</v>
      </c>
      <c r="I434">
        <v>11.5</v>
      </c>
      <c r="J434">
        <v>2.5</v>
      </c>
      <c r="K434">
        <v>0.7</v>
      </c>
      <c r="L434">
        <v>4.2</v>
      </c>
      <c r="M434" s="1">
        <v>4900320</v>
      </c>
      <c r="N434" s="2">
        <f>IF(O434="US",1,0)</f>
        <v>1</v>
      </c>
      <c r="O434" t="s">
        <v>21</v>
      </c>
    </row>
    <row r="435" spans="1:15">
      <c r="A435" t="s">
        <v>455</v>
      </c>
      <c r="B435" t="s">
        <v>16</v>
      </c>
      <c r="C435">
        <f>IF(B435="east",1,0)</f>
        <v>0</v>
      </c>
      <c r="D435" t="s">
        <v>24</v>
      </c>
      <c r="E435">
        <f>IF(D435="Guard",1,0)</f>
        <v>0</v>
      </c>
      <c r="F435">
        <f>IF(D435="Forward",1,0)</f>
        <v>1</v>
      </c>
      <c r="G435">
        <v>24</v>
      </c>
      <c r="H435">
        <v>54</v>
      </c>
      <c r="I435">
        <v>10.199999999999999</v>
      </c>
      <c r="J435">
        <v>1.4</v>
      </c>
      <c r="K435">
        <v>0.4</v>
      </c>
      <c r="L435">
        <v>4.2</v>
      </c>
      <c r="M435" s="1">
        <v>4010160</v>
      </c>
      <c r="N435" s="2">
        <f>IF(O435="US",1,0)</f>
        <v>1</v>
      </c>
      <c r="O435" t="s">
        <v>21</v>
      </c>
    </row>
    <row r="436" spans="1:15">
      <c r="A436" t="s">
        <v>456</v>
      </c>
      <c r="B436" t="s">
        <v>23</v>
      </c>
      <c r="C436">
        <f>IF(B436="east",1,0)</f>
        <v>1</v>
      </c>
      <c r="D436" t="s">
        <v>24</v>
      </c>
      <c r="E436">
        <f>IF(D436="Guard",1,0)</f>
        <v>0</v>
      </c>
      <c r="F436">
        <f>IF(D436="Forward",1,0)</f>
        <v>1</v>
      </c>
      <c r="G436">
        <v>25</v>
      </c>
      <c r="H436">
        <v>29</v>
      </c>
      <c r="I436">
        <v>11</v>
      </c>
      <c r="J436">
        <v>1.7</v>
      </c>
      <c r="K436">
        <v>0.8</v>
      </c>
      <c r="L436">
        <v>4.2</v>
      </c>
      <c r="M436" s="1">
        <v>123045</v>
      </c>
      <c r="N436" s="2">
        <f>IF(O436="US",1,0)</f>
        <v>1</v>
      </c>
      <c r="O436" t="s">
        <v>21</v>
      </c>
    </row>
    <row r="437" spans="1:15">
      <c r="A437" t="s">
        <v>457</v>
      </c>
      <c r="B437" t="s">
        <v>23</v>
      </c>
      <c r="C437">
        <f>IF(B437="east",1,0)</f>
        <v>1</v>
      </c>
      <c r="D437" t="s">
        <v>17</v>
      </c>
      <c r="E437">
        <f>IF(D437="Guard",1,0)</f>
        <v>1</v>
      </c>
      <c r="F437">
        <f>IF(D437="Forward",1,0)</f>
        <v>0</v>
      </c>
      <c r="G437">
        <v>25</v>
      </c>
      <c r="H437">
        <v>24</v>
      </c>
      <c r="I437">
        <v>9.4</v>
      </c>
      <c r="J437">
        <v>1.8</v>
      </c>
      <c r="K437">
        <v>0.3</v>
      </c>
      <c r="L437">
        <v>4.2</v>
      </c>
      <c r="M437" s="1">
        <v>27343</v>
      </c>
      <c r="N437" s="2">
        <f>IF(O437="US",1,0)</f>
        <v>0</v>
      </c>
      <c r="O437" t="s">
        <v>18</v>
      </c>
    </row>
    <row r="438" spans="1:15">
      <c r="A438" t="s">
        <v>458</v>
      </c>
      <c r="B438" t="s">
        <v>23</v>
      </c>
      <c r="C438">
        <f>IF(B438="east",1,0)</f>
        <v>1</v>
      </c>
      <c r="D438" t="s">
        <v>24</v>
      </c>
      <c r="E438">
        <f>IF(D438="Guard",1,0)</f>
        <v>0</v>
      </c>
      <c r="F438">
        <f>IF(D438="Forward",1,0)</f>
        <v>1</v>
      </c>
      <c r="G438">
        <v>24</v>
      </c>
      <c r="H438">
        <v>9</v>
      </c>
      <c r="I438">
        <v>9.4</v>
      </c>
      <c r="J438">
        <v>1.6</v>
      </c>
      <c r="K438">
        <v>0.8</v>
      </c>
      <c r="L438">
        <v>4.0999999999999996</v>
      </c>
      <c r="M438" s="1">
        <v>274325</v>
      </c>
      <c r="N438" s="2">
        <f>IF(O438="US",1,0)</f>
        <v>0</v>
      </c>
      <c r="O438" t="s">
        <v>18</v>
      </c>
    </row>
    <row r="439" spans="1:15">
      <c r="A439" t="s">
        <v>459</v>
      </c>
      <c r="B439" t="s">
        <v>16</v>
      </c>
      <c r="C439">
        <f>IF(B439="east",1,0)</f>
        <v>0</v>
      </c>
      <c r="D439" t="s">
        <v>24</v>
      </c>
      <c r="E439">
        <f>IF(D439="Guard",1,0)</f>
        <v>0</v>
      </c>
      <c r="F439">
        <f>IF(D439="Forward",1,0)</f>
        <v>1</v>
      </c>
      <c r="G439">
        <v>29</v>
      </c>
      <c r="H439">
        <v>2</v>
      </c>
      <c r="I439">
        <v>10</v>
      </c>
      <c r="J439">
        <v>3</v>
      </c>
      <c r="K439">
        <v>0.5</v>
      </c>
      <c r="L439">
        <v>4</v>
      </c>
      <c r="M439" s="1">
        <v>12500000</v>
      </c>
      <c r="N439" s="2">
        <f>IF(O439="US",1,0)</f>
        <v>0</v>
      </c>
      <c r="O439" t="s">
        <v>18</v>
      </c>
    </row>
    <row r="440" spans="1:15">
      <c r="A440" t="s">
        <v>460</v>
      </c>
      <c r="B440" t="s">
        <v>16</v>
      </c>
      <c r="C440">
        <f>IF(B440="east",1,0)</f>
        <v>0</v>
      </c>
      <c r="D440" t="s">
        <v>24</v>
      </c>
      <c r="E440">
        <f>IF(D440="Guard",1,0)</f>
        <v>0</v>
      </c>
      <c r="F440">
        <f>IF(D440="Forward",1,0)</f>
        <v>1</v>
      </c>
      <c r="G440">
        <v>37</v>
      </c>
      <c r="H440">
        <v>74</v>
      </c>
      <c r="I440">
        <v>17.5</v>
      </c>
      <c r="J440">
        <v>2.5</v>
      </c>
      <c r="K440">
        <v>0.9</v>
      </c>
      <c r="L440">
        <v>4</v>
      </c>
      <c r="M440" s="1">
        <v>5601600</v>
      </c>
      <c r="N440" s="2">
        <f>IF(O440="US",1,0)</f>
        <v>0</v>
      </c>
      <c r="O440" t="s">
        <v>18</v>
      </c>
    </row>
    <row r="441" spans="1:15">
      <c r="A441" t="s">
        <v>461</v>
      </c>
      <c r="B441" t="s">
        <v>16</v>
      </c>
      <c r="C441">
        <f>IF(B441="east",1,0)</f>
        <v>0</v>
      </c>
      <c r="D441" t="s">
        <v>17</v>
      </c>
      <c r="E441">
        <f>IF(D441="Guard",1,0)</f>
        <v>1</v>
      </c>
      <c r="F441">
        <f>IF(D441="Forward",1,0)</f>
        <v>0</v>
      </c>
      <c r="G441">
        <v>24</v>
      </c>
      <c r="H441">
        <v>68</v>
      </c>
      <c r="I441">
        <v>13.1</v>
      </c>
      <c r="J441">
        <v>1.8</v>
      </c>
      <c r="K441">
        <v>0.6</v>
      </c>
      <c r="L441">
        <v>4</v>
      </c>
      <c r="M441" s="1">
        <v>2191897</v>
      </c>
      <c r="N441" s="2">
        <f>IF(O441="US",1,0)</f>
        <v>1</v>
      </c>
      <c r="O441" t="s">
        <v>21</v>
      </c>
    </row>
    <row r="442" spans="1:15">
      <c r="A442" t="s">
        <v>462</v>
      </c>
      <c r="B442" t="s">
        <v>23</v>
      </c>
      <c r="C442">
        <f>IF(B442="east",1,0)</f>
        <v>1</v>
      </c>
      <c r="D442" t="s">
        <v>29</v>
      </c>
      <c r="E442">
        <f>IF(D442="Guard",1,0)</f>
        <v>0</v>
      </c>
      <c r="F442">
        <f>IF(D442="Forward",1,0)</f>
        <v>0</v>
      </c>
      <c r="G442">
        <v>28</v>
      </c>
      <c r="H442">
        <v>41</v>
      </c>
      <c r="I442">
        <v>11</v>
      </c>
      <c r="J442">
        <v>2.8</v>
      </c>
      <c r="K442">
        <v>0.5</v>
      </c>
      <c r="L442">
        <v>4</v>
      </c>
      <c r="M442" s="1">
        <v>123945</v>
      </c>
      <c r="N442" s="2">
        <f>IF(O442="US",1,0)</f>
        <v>1</v>
      </c>
      <c r="O442" t="s">
        <v>21</v>
      </c>
    </row>
    <row r="443" spans="1:15">
      <c r="A443" t="s">
        <v>463</v>
      </c>
      <c r="B443" t="s">
        <v>16</v>
      </c>
      <c r="C443">
        <f>IF(B443="east",1,0)</f>
        <v>0</v>
      </c>
      <c r="D443" t="s">
        <v>24</v>
      </c>
      <c r="E443">
        <f>IF(D443="Guard",1,0)</f>
        <v>0</v>
      </c>
      <c r="F443">
        <f>IF(D443="Forward",1,0)</f>
        <v>1</v>
      </c>
      <c r="G443">
        <v>30</v>
      </c>
      <c r="H443">
        <v>58</v>
      </c>
      <c r="I443">
        <v>14.8</v>
      </c>
      <c r="J443">
        <v>2.5</v>
      </c>
      <c r="K443">
        <v>1.4</v>
      </c>
      <c r="L443">
        <v>3.9</v>
      </c>
      <c r="M443" s="1">
        <v>8556451</v>
      </c>
      <c r="N443" s="2">
        <f>IF(O443="US",1,0)</f>
        <v>1</v>
      </c>
      <c r="O443" t="s">
        <v>21</v>
      </c>
    </row>
    <row r="444" spans="1:15">
      <c r="A444" t="s">
        <v>464</v>
      </c>
      <c r="B444" t="s">
        <v>16</v>
      </c>
      <c r="C444">
        <f>IF(B444="east",1,0)</f>
        <v>0</v>
      </c>
      <c r="D444" t="s">
        <v>24</v>
      </c>
      <c r="E444">
        <f>IF(D444="Guard",1,0)</f>
        <v>0</v>
      </c>
      <c r="F444">
        <f>IF(D444="Forward",1,0)</f>
        <v>1</v>
      </c>
      <c r="G444">
        <v>19</v>
      </c>
      <c r="H444">
        <v>40</v>
      </c>
      <c r="I444">
        <v>7.9</v>
      </c>
      <c r="J444">
        <v>2.2999999999999998</v>
      </c>
      <c r="K444">
        <v>0.3</v>
      </c>
      <c r="L444">
        <v>3.9</v>
      </c>
      <c r="M444" s="1">
        <v>4201080</v>
      </c>
      <c r="N444" s="2">
        <f>IF(O444="US",1,0)</f>
        <v>0</v>
      </c>
      <c r="O444" t="s">
        <v>18</v>
      </c>
    </row>
    <row r="445" spans="1:15">
      <c r="A445" t="s">
        <v>465</v>
      </c>
      <c r="B445" t="s">
        <v>23</v>
      </c>
      <c r="C445">
        <f>IF(B445="east",1,0)</f>
        <v>1</v>
      </c>
      <c r="D445" t="s">
        <v>24</v>
      </c>
      <c r="E445">
        <f>IF(D445="Guard",1,0)</f>
        <v>0</v>
      </c>
      <c r="F445">
        <f>IF(D445="Forward",1,0)</f>
        <v>1</v>
      </c>
      <c r="G445">
        <v>19</v>
      </c>
      <c r="H445">
        <v>74</v>
      </c>
      <c r="I445">
        <v>14.6</v>
      </c>
      <c r="J445">
        <v>3.3</v>
      </c>
      <c r="K445">
        <v>0.5</v>
      </c>
      <c r="L445">
        <v>3.9</v>
      </c>
      <c r="M445" s="1">
        <v>2783880</v>
      </c>
      <c r="N445" s="2">
        <f>IF(O445="US",1,0)</f>
        <v>0</v>
      </c>
      <c r="O445" t="s">
        <v>18</v>
      </c>
    </row>
    <row r="446" spans="1:15">
      <c r="A446" t="s">
        <v>466</v>
      </c>
      <c r="B446" t="s">
        <v>16</v>
      </c>
      <c r="C446">
        <f>IF(B446="east",1,0)</f>
        <v>0</v>
      </c>
      <c r="D446" t="s">
        <v>29</v>
      </c>
      <c r="E446">
        <f>IF(D446="Guard",1,0)</f>
        <v>0</v>
      </c>
      <c r="F446">
        <f>IF(D446="Forward",1,0)</f>
        <v>0</v>
      </c>
      <c r="G446">
        <v>31</v>
      </c>
      <c r="H446">
        <v>75</v>
      </c>
      <c r="I446">
        <v>12.3</v>
      </c>
      <c r="J446">
        <v>4.5999999999999996</v>
      </c>
      <c r="K446">
        <v>0.7</v>
      </c>
      <c r="L446">
        <v>3.8</v>
      </c>
      <c r="M446" s="1">
        <v>6700000</v>
      </c>
      <c r="N446" s="2">
        <f>IF(O446="US",1,0)</f>
        <v>0</v>
      </c>
      <c r="O446" t="s">
        <v>18</v>
      </c>
    </row>
    <row r="447" spans="1:15">
      <c r="A447" t="s">
        <v>467</v>
      </c>
      <c r="B447" t="s">
        <v>23</v>
      </c>
      <c r="C447">
        <f>IF(B447="east",1,0)</f>
        <v>1</v>
      </c>
      <c r="D447" t="s">
        <v>24</v>
      </c>
      <c r="E447">
        <f>IF(D447="Guard",1,0)</f>
        <v>0</v>
      </c>
      <c r="F447">
        <f>IF(D447="Forward",1,0)</f>
        <v>1</v>
      </c>
      <c r="G447">
        <v>21</v>
      </c>
      <c r="H447">
        <v>59</v>
      </c>
      <c r="I447">
        <v>12.8</v>
      </c>
      <c r="J447">
        <v>3.2</v>
      </c>
      <c r="K447">
        <v>1.2</v>
      </c>
      <c r="L447">
        <v>3.8</v>
      </c>
      <c r="M447" s="1">
        <v>1272870</v>
      </c>
      <c r="N447" s="2">
        <f>IF(O447="US",1,0)</f>
        <v>0</v>
      </c>
      <c r="O447" t="s">
        <v>18</v>
      </c>
    </row>
    <row r="448" spans="1:15">
      <c r="A448" t="s">
        <v>468</v>
      </c>
      <c r="B448" t="s">
        <v>16</v>
      </c>
      <c r="C448">
        <f>IF(B448="east",1,0)</f>
        <v>0</v>
      </c>
      <c r="D448" t="s">
        <v>29</v>
      </c>
      <c r="E448">
        <f>IF(D448="Guard",1,0)</f>
        <v>0</v>
      </c>
      <c r="F448">
        <f>IF(D448="Forward",1,0)</f>
        <v>0</v>
      </c>
      <c r="G448">
        <v>27</v>
      </c>
      <c r="H448">
        <v>9</v>
      </c>
      <c r="I448">
        <v>11.6</v>
      </c>
      <c r="J448">
        <v>3.3</v>
      </c>
      <c r="K448">
        <v>0.9</v>
      </c>
      <c r="L448">
        <v>3.8</v>
      </c>
      <c r="M448" s="1">
        <v>141463</v>
      </c>
      <c r="N448" s="2">
        <f>IF(O448="US",1,0)</f>
        <v>0</v>
      </c>
      <c r="O448" t="s">
        <v>18</v>
      </c>
    </row>
    <row r="449" spans="1:15">
      <c r="A449" t="s">
        <v>469</v>
      </c>
      <c r="B449" t="s">
        <v>16</v>
      </c>
      <c r="C449">
        <f>IF(B449="east",1,0)</f>
        <v>0</v>
      </c>
      <c r="D449" t="s">
        <v>17</v>
      </c>
      <c r="E449">
        <f>IF(D449="Guard",1,0)</f>
        <v>1</v>
      </c>
      <c r="F449">
        <f>IF(D449="Forward",1,0)</f>
        <v>0</v>
      </c>
      <c r="G449">
        <v>23</v>
      </c>
      <c r="H449">
        <v>12</v>
      </c>
      <c r="I449">
        <v>7</v>
      </c>
      <c r="J449">
        <v>0.7</v>
      </c>
      <c r="K449">
        <v>0.8</v>
      </c>
      <c r="L449">
        <v>3.8</v>
      </c>
      <c r="M449" s="1">
        <v>85300</v>
      </c>
      <c r="N449" s="2">
        <f>IF(O449="US",1,0)</f>
        <v>1</v>
      </c>
      <c r="O449" t="s">
        <v>21</v>
      </c>
    </row>
    <row r="450" spans="1:15">
      <c r="A450" t="s">
        <v>470</v>
      </c>
      <c r="B450" t="s">
        <v>16</v>
      </c>
      <c r="C450">
        <f>IF(B450="east",1,0)</f>
        <v>0</v>
      </c>
      <c r="D450" t="s">
        <v>24</v>
      </c>
      <c r="E450">
        <f>IF(D450="Guard",1,0)</f>
        <v>0</v>
      </c>
      <c r="F450">
        <f>IF(D450="Forward",1,0)</f>
        <v>1</v>
      </c>
      <c r="G450">
        <v>25</v>
      </c>
      <c r="H450">
        <v>52</v>
      </c>
      <c r="I450">
        <v>12</v>
      </c>
      <c r="J450">
        <v>2.6</v>
      </c>
      <c r="K450">
        <v>0.6</v>
      </c>
      <c r="L450">
        <v>3.7</v>
      </c>
      <c r="M450" s="1">
        <v>8177778</v>
      </c>
      <c r="N450" s="2">
        <f>IF(O450="US",1,0)</f>
        <v>1</v>
      </c>
      <c r="O450" t="s">
        <v>21</v>
      </c>
    </row>
    <row r="451" spans="1:15">
      <c r="A451" t="s">
        <v>471</v>
      </c>
      <c r="B451" t="s">
        <v>23</v>
      </c>
      <c r="C451">
        <f>IF(B451="east",1,0)</f>
        <v>1</v>
      </c>
      <c r="D451" t="s">
        <v>24</v>
      </c>
      <c r="E451">
        <f>IF(D451="Guard",1,0)</f>
        <v>0</v>
      </c>
      <c r="F451">
        <f>IF(D451="Forward",1,0)</f>
        <v>1</v>
      </c>
      <c r="G451">
        <v>33</v>
      </c>
      <c r="H451">
        <v>35</v>
      </c>
      <c r="I451">
        <v>12.8</v>
      </c>
      <c r="J451">
        <v>2.7</v>
      </c>
      <c r="K451">
        <v>1</v>
      </c>
      <c r="L451">
        <v>3.7</v>
      </c>
      <c r="M451" s="1">
        <v>3634153</v>
      </c>
      <c r="N451" s="2">
        <f>IF(O451="US",1,0)</f>
        <v>1</v>
      </c>
      <c r="O451" t="s">
        <v>21</v>
      </c>
    </row>
    <row r="452" spans="1:15">
      <c r="A452" t="s">
        <v>472</v>
      </c>
      <c r="B452" t="s">
        <v>16</v>
      </c>
      <c r="C452">
        <f>IF(B452="east",1,0)</f>
        <v>0</v>
      </c>
      <c r="D452" t="s">
        <v>24</v>
      </c>
      <c r="E452">
        <f>IF(D452="Guard",1,0)</f>
        <v>0</v>
      </c>
      <c r="F452">
        <f>IF(D452="Forward",1,0)</f>
        <v>1</v>
      </c>
      <c r="G452">
        <v>23</v>
      </c>
      <c r="H452">
        <v>25</v>
      </c>
      <c r="I452">
        <v>8.4</v>
      </c>
      <c r="J452">
        <v>1.4</v>
      </c>
      <c r="K452">
        <v>0.6</v>
      </c>
      <c r="L452">
        <v>3.7</v>
      </c>
      <c r="M452" s="1">
        <v>3218760</v>
      </c>
      <c r="N452" s="2">
        <f>IF(O452="US",1,0)</f>
        <v>1</v>
      </c>
      <c r="O452" t="s">
        <v>21</v>
      </c>
    </row>
    <row r="453" spans="1:15">
      <c r="A453" t="s">
        <v>473</v>
      </c>
      <c r="B453" t="s">
        <v>23</v>
      </c>
      <c r="C453">
        <f>IF(B453="east",1,0)</f>
        <v>1</v>
      </c>
      <c r="D453" t="s">
        <v>17</v>
      </c>
      <c r="E453">
        <f>IF(D453="Guard",1,0)</f>
        <v>1</v>
      </c>
      <c r="F453">
        <f>IF(D453="Forward",1,0)</f>
        <v>0</v>
      </c>
      <c r="G453">
        <v>23</v>
      </c>
      <c r="H453">
        <v>48</v>
      </c>
      <c r="I453">
        <v>11.5</v>
      </c>
      <c r="J453">
        <v>1.8</v>
      </c>
      <c r="K453">
        <v>1.4</v>
      </c>
      <c r="L453">
        <v>3.7</v>
      </c>
      <c r="M453" s="1">
        <v>125931</v>
      </c>
      <c r="N453" s="2">
        <f>IF(O453="US",1,0)</f>
        <v>1</v>
      </c>
      <c r="O453" t="s">
        <v>21</v>
      </c>
    </row>
    <row r="454" spans="1:15">
      <c r="A454" t="s">
        <v>474</v>
      </c>
      <c r="B454" t="s">
        <v>23</v>
      </c>
      <c r="C454">
        <f>IF(B454="east",1,0)</f>
        <v>1</v>
      </c>
      <c r="D454" t="s">
        <v>24</v>
      </c>
      <c r="E454">
        <f>IF(D454="Guard",1,0)</f>
        <v>0</v>
      </c>
      <c r="F454">
        <f>IF(D454="Forward",1,0)</f>
        <v>1</v>
      </c>
      <c r="G454">
        <v>25</v>
      </c>
      <c r="H454">
        <v>15</v>
      </c>
      <c r="I454">
        <v>9.1</v>
      </c>
      <c r="J454">
        <v>3.3</v>
      </c>
      <c r="K454">
        <v>0.9</v>
      </c>
      <c r="L454">
        <v>3.7</v>
      </c>
      <c r="M454" s="1">
        <v>70638</v>
      </c>
      <c r="N454" s="2">
        <f>IF(O454="US",1,0)</f>
        <v>1</v>
      </c>
      <c r="O454" t="s">
        <v>21</v>
      </c>
    </row>
    <row r="455" spans="1:15">
      <c r="A455" t="s">
        <v>475</v>
      </c>
      <c r="B455" t="s">
        <v>23</v>
      </c>
      <c r="C455">
        <f>IF(B455="east",1,0)</f>
        <v>1</v>
      </c>
      <c r="D455" t="s">
        <v>24</v>
      </c>
      <c r="E455">
        <f>IF(D455="Guard",1,0)</f>
        <v>0</v>
      </c>
      <c r="F455">
        <f>IF(D455="Forward",1,0)</f>
        <v>1</v>
      </c>
      <c r="G455">
        <v>20</v>
      </c>
      <c r="H455">
        <v>69</v>
      </c>
      <c r="I455">
        <v>9.1999999999999993</v>
      </c>
      <c r="J455">
        <v>1.4</v>
      </c>
      <c r="K455">
        <v>0.8</v>
      </c>
      <c r="L455">
        <v>3.6</v>
      </c>
      <c r="M455" s="1">
        <v>1272870</v>
      </c>
      <c r="N455" s="2">
        <f>IF(O455="US",1,0)</f>
        <v>0</v>
      </c>
      <c r="O455" t="s">
        <v>18</v>
      </c>
    </row>
    <row r="456" spans="1:15">
      <c r="A456" t="s">
        <v>476</v>
      </c>
      <c r="B456" t="s">
        <v>23</v>
      </c>
      <c r="C456">
        <f>IF(B456="east",1,0)</f>
        <v>1</v>
      </c>
      <c r="D456" t="s">
        <v>24</v>
      </c>
      <c r="E456">
        <f>IF(D456="Guard",1,0)</f>
        <v>0</v>
      </c>
      <c r="F456">
        <f>IF(D456="Forward",1,0)</f>
        <v>1</v>
      </c>
      <c r="G456">
        <v>22</v>
      </c>
      <c r="H456">
        <v>44</v>
      </c>
      <c r="I456">
        <v>10.7</v>
      </c>
      <c r="J456">
        <v>2.4</v>
      </c>
      <c r="K456">
        <v>0.9</v>
      </c>
      <c r="L456">
        <v>3.6</v>
      </c>
      <c r="M456" s="1">
        <v>806628</v>
      </c>
      <c r="N456" s="2">
        <f>IF(O456="US",1,0)</f>
        <v>0</v>
      </c>
      <c r="O456" t="s">
        <v>18</v>
      </c>
    </row>
    <row r="457" spans="1:15">
      <c r="A457" t="s">
        <v>477</v>
      </c>
      <c r="B457" t="s">
        <v>23</v>
      </c>
      <c r="C457">
        <f>IF(B457="east",1,0)</f>
        <v>1</v>
      </c>
      <c r="D457" t="s">
        <v>24</v>
      </c>
      <c r="E457">
        <f>IF(D457="Guard",1,0)</f>
        <v>0</v>
      </c>
      <c r="F457">
        <f>IF(D457="Forward",1,0)</f>
        <v>1</v>
      </c>
      <c r="G457">
        <v>24</v>
      </c>
      <c r="H457">
        <v>45</v>
      </c>
      <c r="I457">
        <v>9.1</v>
      </c>
      <c r="J457">
        <v>2.7</v>
      </c>
      <c r="K457">
        <v>1</v>
      </c>
      <c r="L457">
        <v>3.6</v>
      </c>
      <c r="M457" s="1">
        <v>395029</v>
      </c>
      <c r="N457" s="2">
        <f>IF(O457="US",1,0)</f>
        <v>1</v>
      </c>
      <c r="O457" t="s">
        <v>21</v>
      </c>
    </row>
    <row r="458" spans="1:15">
      <c r="A458" t="s">
        <v>478</v>
      </c>
      <c r="B458" t="s">
        <v>23</v>
      </c>
      <c r="C458">
        <f>IF(B458="east",1,0)</f>
        <v>1</v>
      </c>
      <c r="D458" t="s">
        <v>17</v>
      </c>
      <c r="E458">
        <f>IF(D458="Guard",1,0)</f>
        <v>1</v>
      </c>
      <c r="F458">
        <f>IF(D458="Forward",1,0)</f>
        <v>0</v>
      </c>
      <c r="G458">
        <v>26</v>
      </c>
      <c r="H458">
        <v>53</v>
      </c>
      <c r="I458">
        <v>10.1</v>
      </c>
      <c r="J458">
        <v>1.1000000000000001</v>
      </c>
      <c r="K458">
        <v>1.8</v>
      </c>
      <c r="L458">
        <v>3.5</v>
      </c>
      <c r="M458" s="1">
        <v>2296274</v>
      </c>
      <c r="N458" s="2">
        <f>IF(O458="US",1,0)</f>
        <v>1</v>
      </c>
      <c r="O458" t="s">
        <v>21</v>
      </c>
    </row>
    <row r="459" spans="1:15">
      <c r="A459" t="s">
        <v>479</v>
      </c>
      <c r="B459" t="s">
        <v>23</v>
      </c>
      <c r="C459">
        <f>IF(B459="east",1,0)</f>
        <v>1</v>
      </c>
      <c r="D459" t="s">
        <v>29</v>
      </c>
      <c r="E459">
        <f>IF(D459="Guard",1,0)</f>
        <v>0</v>
      </c>
      <c r="F459">
        <f>IF(D459="Forward",1,0)</f>
        <v>0</v>
      </c>
      <c r="G459">
        <v>26</v>
      </c>
      <c r="H459">
        <v>4</v>
      </c>
      <c r="I459">
        <v>9.8000000000000007</v>
      </c>
      <c r="J459">
        <v>2.8</v>
      </c>
      <c r="K459">
        <v>1.3</v>
      </c>
      <c r="L459">
        <v>3.5</v>
      </c>
      <c r="M459" s="1">
        <v>149965</v>
      </c>
      <c r="N459" s="2">
        <f>IF(O459="US",1,0)</f>
        <v>0</v>
      </c>
      <c r="O459" t="s">
        <v>18</v>
      </c>
    </row>
    <row r="460" spans="1:15">
      <c r="A460" t="s">
        <v>480</v>
      </c>
      <c r="B460" t="s">
        <v>23</v>
      </c>
      <c r="C460">
        <f>IF(B460="east",1,0)</f>
        <v>1</v>
      </c>
      <c r="D460" t="s">
        <v>29</v>
      </c>
      <c r="E460">
        <f>IF(D460="Guard",1,0)</f>
        <v>0</v>
      </c>
      <c r="F460">
        <f>IF(D460="Forward",1,0)</f>
        <v>0</v>
      </c>
      <c r="G460">
        <v>25</v>
      </c>
      <c r="H460">
        <v>53</v>
      </c>
      <c r="I460">
        <v>9.4</v>
      </c>
      <c r="J460">
        <v>2.7</v>
      </c>
      <c r="K460">
        <v>0.7</v>
      </c>
      <c r="L460">
        <v>3.4</v>
      </c>
      <c r="M460" s="1">
        <v>2221677</v>
      </c>
      <c r="N460" s="2">
        <f>IF(O460="US",1,0)</f>
        <v>1</v>
      </c>
      <c r="O460" t="s">
        <v>21</v>
      </c>
    </row>
    <row r="461" spans="1:15">
      <c r="A461" t="s">
        <v>481</v>
      </c>
      <c r="B461" t="s">
        <v>16</v>
      </c>
      <c r="C461">
        <f>IF(B461="east",1,0)</f>
        <v>0</v>
      </c>
      <c r="D461" t="s">
        <v>29</v>
      </c>
      <c r="E461">
        <f>IF(D461="Guard",1,0)</f>
        <v>0</v>
      </c>
      <c r="F461">
        <f>IF(D461="Forward",1,0)</f>
        <v>0</v>
      </c>
      <c r="G461">
        <v>40</v>
      </c>
      <c r="H461">
        <v>10</v>
      </c>
      <c r="I461">
        <v>9.6999999999999993</v>
      </c>
      <c r="J461">
        <v>2.7</v>
      </c>
      <c r="K461">
        <v>0.6</v>
      </c>
      <c r="L461">
        <v>3.4</v>
      </c>
      <c r="M461" s="1">
        <v>960753</v>
      </c>
      <c r="N461" s="2">
        <f>IF(O461="US",1,0)</f>
        <v>1</v>
      </c>
      <c r="O461" t="s">
        <v>21</v>
      </c>
    </row>
    <row r="462" spans="1:15">
      <c r="A462" t="s">
        <v>482</v>
      </c>
      <c r="B462" t="s">
        <v>23</v>
      </c>
      <c r="C462">
        <f>IF(B462="east",1,0)</f>
        <v>1</v>
      </c>
      <c r="D462" t="s">
        <v>17</v>
      </c>
      <c r="E462">
        <f>IF(D462="Guard",1,0)</f>
        <v>1</v>
      </c>
      <c r="F462">
        <f>IF(D462="Forward",1,0)</f>
        <v>0</v>
      </c>
      <c r="G462">
        <v>24</v>
      </c>
      <c r="H462">
        <v>18</v>
      </c>
      <c r="I462">
        <v>11.6</v>
      </c>
      <c r="J462">
        <v>1.8</v>
      </c>
      <c r="K462">
        <v>2.6</v>
      </c>
      <c r="L462">
        <v>3.4</v>
      </c>
      <c r="M462" s="1">
        <v>354794</v>
      </c>
      <c r="N462" s="2">
        <f>IF(O462="US",1,0)</f>
        <v>0</v>
      </c>
      <c r="O462" t="s">
        <v>18</v>
      </c>
    </row>
    <row r="463" spans="1:15">
      <c r="A463" t="s">
        <v>483</v>
      </c>
      <c r="B463" t="s">
        <v>16</v>
      </c>
      <c r="C463">
        <f>IF(B463="east",1,0)</f>
        <v>0</v>
      </c>
      <c r="D463" t="s">
        <v>24</v>
      </c>
      <c r="E463">
        <f>IF(D463="Guard",1,0)</f>
        <v>0</v>
      </c>
      <c r="F463">
        <f>IF(D463="Forward",1,0)</f>
        <v>1</v>
      </c>
      <c r="G463">
        <v>25</v>
      </c>
      <c r="H463">
        <v>27</v>
      </c>
      <c r="I463">
        <v>8.6999999999999993</v>
      </c>
      <c r="J463">
        <v>1.2</v>
      </c>
      <c r="K463">
        <v>0.9</v>
      </c>
      <c r="L463">
        <v>3.4</v>
      </c>
      <c r="M463" s="1">
        <v>85300</v>
      </c>
      <c r="N463" s="2">
        <f>IF(O463="US",1,0)</f>
        <v>1</v>
      </c>
      <c r="O463" t="s">
        <v>21</v>
      </c>
    </row>
    <row r="464" spans="1:15">
      <c r="A464" t="s">
        <v>484</v>
      </c>
      <c r="B464" t="s">
        <v>16</v>
      </c>
      <c r="C464">
        <f>IF(B464="east",1,0)</f>
        <v>0</v>
      </c>
      <c r="D464" t="s">
        <v>24</v>
      </c>
      <c r="E464">
        <f>IF(D464="Guard",1,0)</f>
        <v>0</v>
      </c>
      <c r="F464">
        <f>IF(D464="Forward",1,0)</f>
        <v>1</v>
      </c>
      <c r="G464">
        <v>32</v>
      </c>
      <c r="H464">
        <v>37</v>
      </c>
      <c r="I464">
        <v>16.8</v>
      </c>
      <c r="J464">
        <v>2.5</v>
      </c>
      <c r="K464">
        <v>1</v>
      </c>
      <c r="L464">
        <v>3.3</v>
      </c>
      <c r="M464" s="1">
        <v>12700000</v>
      </c>
      <c r="N464" s="2">
        <f>IF(O464="US",1,0)</f>
        <v>1</v>
      </c>
      <c r="O464" t="s">
        <v>21</v>
      </c>
    </row>
    <row r="465" spans="1:15">
      <c r="A465" t="s">
        <v>485</v>
      </c>
      <c r="B465" t="s">
        <v>16</v>
      </c>
      <c r="C465">
        <f>IF(B465="east",1,0)</f>
        <v>0</v>
      </c>
      <c r="D465" t="s">
        <v>29</v>
      </c>
      <c r="E465">
        <f>IF(D465="Guard",1,0)</f>
        <v>0</v>
      </c>
      <c r="F465">
        <f>IF(D465="Forward",1,0)</f>
        <v>0</v>
      </c>
      <c r="G465">
        <v>34</v>
      </c>
      <c r="H465">
        <v>63</v>
      </c>
      <c r="I465">
        <v>14.3</v>
      </c>
      <c r="J465">
        <v>4.0999999999999996</v>
      </c>
      <c r="K465">
        <v>1.1000000000000001</v>
      </c>
      <c r="L465">
        <v>3.3</v>
      </c>
      <c r="M465" s="1">
        <v>4000000</v>
      </c>
      <c r="N465" s="2">
        <f>IF(O465="US",1,0)</f>
        <v>0</v>
      </c>
      <c r="O465" t="s">
        <v>18</v>
      </c>
    </row>
    <row r="466" spans="1:15">
      <c r="A466" t="s">
        <v>486</v>
      </c>
      <c r="B466" t="s">
        <v>16</v>
      </c>
      <c r="C466">
        <f>IF(B466="east",1,0)</f>
        <v>0</v>
      </c>
      <c r="D466" t="s">
        <v>17</v>
      </c>
      <c r="E466">
        <f>IF(D466="Guard",1,0)</f>
        <v>1</v>
      </c>
      <c r="F466">
        <f>IF(D466="Forward",1,0)</f>
        <v>0</v>
      </c>
      <c r="G466">
        <v>21</v>
      </c>
      <c r="H466">
        <v>48</v>
      </c>
      <c r="I466">
        <v>9.5</v>
      </c>
      <c r="J466">
        <v>1.1000000000000001</v>
      </c>
      <c r="K466">
        <v>1</v>
      </c>
      <c r="L466">
        <v>3.3</v>
      </c>
      <c r="M466" s="1">
        <v>3090480</v>
      </c>
      <c r="N466" s="2">
        <f>IF(O466="US",1,0)</f>
        <v>1</v>
      </c>
      <c r="O466" t="s">
        <v>21</v>
      </c>
    </row>
    <row r="467" spans="1:15">
      <c r="A467" t="s">
        <v>487</v>
      </c>
      <c r="B467" t="s">
        <v>23</v>
      </c>
      <c r="C467">
        <f>IF(B467="east",1,0)</f>
        <v>1</v>
      </c>
      <c r="D467" t="s">
        <v>29</v>
      </c>
      <c r="E467">
        <f>IF(D467="Guard",1,0)</f>
        <v>0</v>
      </c>
      <c r="F467">
        <f>IF(D467="Forward",1,0)</f>
        <v>0</v>
      </c>
      <c r="G467">
        <v>24</v>
      </c>
      <c r="H467">
        <v>4</v>
      </c>
      <c r="I467">
        <v>14.5</v>
      </c>
      <c r="J467">
        <v>2</v>
      </c>
      <c r="K467">
        <v>0.8</v>
      </c>
      <c r="L467">
        <v>3.3</v>
      </c>
      <c r="M467" s="1">
        <v>1000000</v>
      </c>
      <c r="N467" s="2">
        <f>IF(O467="US",1,0)</f>
        <v>1</v>
      </c>
      <c r="O467" t="s">
        <v>21</v>
      </c>
    </row>
    <row r="468" spans="1:15">
      <c r="A468" t="s">
        <v>488</v>
      </c>
      <c r="B468" t="s">
        <v>16</v>
      </c>
      <c r="C468">
        <f>IF(B468="east",1,0)</f>
        <v>0</v>
      </c>
      <c r="D468" t="s">
        <v>24</v>
      </c>
      <c r="E468">
        <f>IF(D468="Guard",1,0)</f>
        <v>0</v>
      </c>
      <c r="F468">
        <f>IF(D468="Forward",1,0)</f>
        <v>1</v>
      </c>
      <c r="G468">
        <v>25</v>
      </c>
      <c r="H468">
        <v>4</v>
      </c>
      <c r="I468">
        <v>9.3000000000000007</v>
      </c>
      <c r="J468">
        <v>2.5</v>
      </c>
      <c r="K468">
        <v>0.5</v>
      </c>
      <c r="L468">
        <v>3.3</v>
      </c>
      <c r="M468" s="1">
        <v>85300</v>
      </c>
      <c r="N468" s="2">
        <f>IF(O468="US",1,0)</f>
        <v>1</v>
      </c>
      <c r="O468" t="s">
        <v>21</v>
      </c>
    </row>
    <row r="469" spans="1:15">
      <c r="A469" t="s">
        <v>489</v>
      </c>
      <c r="B469" t="s">
        <v>16</v>
      </c>
      <c r="C469">
        <f>IF(B469="east",1,0)</f>
        <v>0</v>
      </c>
      <c r="D469" t="s">
        <v>24</v>
      </c>
      <c r="E469">
        <f>IF(D469="Guard",1,0)</f>
        <v>0</v>
      </c>
      <c r="F469">
        <f>IF(D469="Forward",1,0)</f>
        <v>1</v>
      </c>
      <c r="G469">
        <v>26</v>
      </c>
      <c r="H469">
        <v>25</v>
      </c>
      <c r="I469">
        <v>11</v>
      </c>
      <c r="J469">
        <v>2.1</v>
      </c>
      <c r="K469">
        <v>0.9</v>
      </c>
      <c r="L469">
        <v>3.3</v>
      </c>
      <c r="M469" s="1">
        <v>85300</v>
      </c>
      <c r="N469" s="2">
        <f>IF(O469="US",1,0)</f>
        <v>0</v>
      </c>
      <c r="O469" t="s">
        <v>18</v>
      </c>
    </row>
    <row r="470" spans="1:15">
      <c r="A470" t="s">
        <v>490</v>
      </c>
      <c r="B470" t="s">
        <v>16</v>
      </c>
      <c r="C470">
        <f>IF(B470="east",1,0)</f>
        <v>0</v>
      </c>
      <c r="D470" t="s">
        <v>17</v>
      </c>
      <c r="E470">
        <f>IF(D470="Guard",1,0)</f>
        <v>1</v>
      </c>
      <c r="F470">
        <f>IF(D470="Forward",1,0)</f>
        <v>0</v>
      </c>
      <c r="G470">
        <v>25</v>
      </c>
      <c r="H470">
        <v>3</v>
      </c>
      <c r="I470">
        <v>14.3</v>
      </c>
      <c r="J470">
        <v>1</v>
      </c>
      <c r="K470">
        <v>3.3</v>
      </c>
      <c r="L470">
        <v>3.3</v>
      </c>
      <c r="M470" s="1">
        <v>85300</v>
      </c>
      <c r="N470" s="2">
        <f>IF(O470="US",1,0)</f>
        <v>1</v>
      </c>
      <c r="O470" t="s">
        <v>21</v>
      </c>
    </row>
    <row r="471" spans="1:15">
      <c r="A471" t="s">
        <v>491</v>
      </c>
      <c r="B471" t="s">
        <v>16</v>
      </c>
      <c r="C471">
        <f>IF(B471="east",1,0)</f>
        <v>0</v>
      </c>
      <c r="D471" t="s">
        <v>29</v>
      </c>
      <c r="E471">
        <f>IF(D471="Guard",1,0)</f>
        <v>0</v>
      </c>
      <c r="F471">
        <f>IF(D471="Forward",1,0)</f>
        <v>0</v>
      </c>
      <c r="G471">
        <v>34</v>
      </c>
      <c r="H471">
        <v>42</v>
      </c>
      <c r="I471">
        <v>8.6</v>
      </c>
      <c r="J471">
        <v>1.8</v>
      </c>
      <c r="K471">
        <v>1.2</v>
      </c>
      <c r="L471">
        <v>3.2</v>
      </c>
      <c r="M471" s="1">
        <v>13445122</v>
      </c>
      <c r="N471" s="2">
        <f>IF(O471="US",1,0)</f>
        <v>0</v>
      </c>
      <c r="O471" t="s">
        <v>18</v>
      </c>
    </row>
    <row r="472" spans="1:15">
      <c r="A472" t="s">
        <v>492</v>
      </c>
      <c r="B472" t="s">
        <v>16</v>
      </c>
      <c r="C472">
        <f>IF(B472="east",1,0)</f>
        <v>0</v>
      </c>
      <c r="D472" t="s">
        <v>17</v>
      </c>
      <c r="E472">
        <f>IF(D472="Guard",1,0)</f>
        <v>1</v>
      </c>
      <c r="F472">
        <f>IF(D472="Forward",1,0)</f>
        <v>0</v>
      </c>
      <c r="G472">
        <v>28</v>
      </c>
      <c r="H472">
        <v>46</v>
      </c>
      <c r="I472">
        <v>10.7</v>
      </c>
      <c r="J472">
        <v>1.2</v>
      </c>
      <c r="K472">
        <v>0.6</v>
      </c>
      <c r="L472">
        <v>3.2</v>
      </c>
      <c r="M472" s="1">
        <v>2874436</v>
      </c>
      <c r="N472" s="2">
        <f>IF(O472="US",1,0)</f>
        <v>1</v>
      </c>
      <c r="O472" t="s">
        <v>21</v>
      </c>
    </row>
    <row r="473" spans="1:15">
      <c r="A473" t="s">
        <v>493</v>
      </c>
      <c r="B473" t="s">
        <v>23</v>
      </c>
      <c r="C473">
        <f>IF(B473="east",1,0)</f>
        <v>1</v>
      </c>
      <c r="D473" t="s">
        <v>24</v>
      </c>
      <c r="E473">
        <f>IF(D473="Guard",1,0)</f>
        <v>0</v>
      </c>
      <c r="F473">
        <f>IF(D473="Forward",1,0)</f>
        <v>1</v>
      </c>
      <c r="G473">
        <v>24</v>
      </c>
      <c r="H473">
        <v>6</v>
      </c>
      <c r="I473">
        <v>3.5</v>
      </c>
      <c r="J473">
        <v>1</v>
      </c>
      <c r="K473">
        <v>0.2</v>
      </c>
      <c r="L473">
        <v>3.2</v>
      </c>
      <c r="M473" s="1">
        <v>636435</v>
      </c>
      <c r="N473" s="2">
        <f>IF(O473="US",1,0)</f>
        <v>0</v>
      </c>
      <c r="O473" t="s">
        <v>18</v>
      </c>
    </row>
    <row r="474" spans="1:15">
      <c r="A474" t="s">
        <v>494</v>
      </c>
      <c r="B474" t="s">
        <v>23</v>
      </c>
      <c r="C474">
        <f>IF(B474="east",1,0)</f>
        <v>1</v>
      </c>
      <c r="D474" t="s">
        <v>24</v>
      </c>
      <c r="E474">
        <f>IF(D474="Guard",1,0)</f>
        <v>0</v>
      </c>
      <c r="F474">
        <f>IF(D474="Forward",1,0)</f>
        <v>1</v>
      </c>
      <c r="G474">
        <v>24</v>
      </c>
      <c r="H474">
        <v>61</v>
      </c>
      <c r="I474">
        <v>8.5</v>
      </c>
      <c r="J474">
        <v>1.5</v>
      </c>
      <c r="K474">
        <v>0.4</v>
      </c>
      <c r="L474">
        <v>3.1</v>
      </c>
      <c r="M474" s="1">
        <v>1955377</v>
      </c>
      <c r="N474" s="2">
        <f>IF(O474="US",1,0)</f>
        <v>1</v>
      </c>
      <c r="O474" t="s">
        <v>21</v>
      </c>
    </row>
    <row r="475" spans="1:15">
      <c r="A475" t="s">
        <v>495</v>
      </c>
      <c r="B475" t="s">
        <v>16</v>
      </c>
      <c r="C475">
        <f>IF(B475="east",1,0)</f>
        <v>0</v>
      </c>
      <c r="D475" t="s">
        <v>17</v>
      </c>
      <c r="E475">
        <f>IF(D475="Guard",1,0)</f>
        <v>1</v>
      </c>
      <c r="F475">
        <f>IF(D475="Forward",1,0)</f>
        <v>0</v>
      </c>
      <c r="G475">
        <v>23</v>
      </c>
      <c r="H475">
        <v>14</v>
      </c>
      <c r="I475">
        <v>9.6</v>
      </c>
      <c r="J475">
        <v>1.7</v>
      </c>
      <c r="K475">
        <v>0.9</v>
      </c>
      <c r="L475">
        <v>3.1</v>
      </c>
      <c r="M475" s="1">
        <v>636435</v>
      </c>
      <c r="N475" s="2">
        <f>IF(O475="US",1,0)</f>
        <v>1</v>
      </c>
      <c r="O475" t="s">
        <v>21</v>
      </c>
    </row>
    <row r="476" spans="1:15">
      <c r="A476" t="s">
        <v>496</v>
      </c>
      <c r="B476" t="s">
        <v>23</v>
      </c>
      <c r="C476">
        <f>IF(B476="east",1,0)</f>
        <v>1</v>
      </c>
      <c r="D476" t="s">
        <v>17</v>
      </c>
      <c r="E476">
        <f>IF(D476="Guard",1,0)</f>
        <v>1</v>
      </c>
      <c r="F476">
        <f>IF(D476="Forward",1,0)</f>
        <v>0</v>
      </c>
      <c r="G476">
        <v>23</v>
      </c>
      <c r="H476">
        <v>7</v>
      </c>
      <c r="I476">
        <v>3.7</v>
      </c>
      <c r="J476">
        <v>0.3</v>
      </c>
      <c r="K476">
        <v>0.3</v>
      </c>
      <c r="L476">
        <v>3.1</v>
      </c>
      <c r="M476" s="1">
        <v>296271</v>
      </c>
      <c r="N476" s="2">
        <f>IF(O476="US",1,0)</f>
        <v>1</v>
      </c>
      <c r="O476" t="s">
        <v>21</v>
      </c>
    </row>
    <row r="477" spans="1:15">
      <c r="A477" t="s">
        <v>497</v>
      </c>
      <c r="B477" t="s">
        <v>16</v>
      </c>
      <c r="C477">
        <f>IF(B477="east",1,0)</f>
        <v>0</v>
      </c>
      <c r="D477" t="s">
        <v>29</v>
      </c>
      <c r="E477">
        <f>IF(D477="Guard",1,0)</f>
        <v>0</v>
      </c>
      <c r="F477">
        <f>IF(D477="Forward",1,0)</f>
        <v>0</v>
      </c>
      <c r="G477">
        <v>19</v>
      </c>
      <c r="H477">
        <v>46</v>
      </c>
      <c r="I477">
        <v>8.9</v>
      </c>
      <c r="J477">
        <v>2.9</v>
      </c>
      <c r="K477">
        <v>0.1</v>
      </c>
      <c r="L477">
        <v>3</v>
      </c>
      <c r="M477" s="1">
        <v>6016080</v>
      </c>
      <c r="N477" s="2">
        <f>IF(O477="US",1,0)</f>
        <v>0</v>
      </c>
      <c r="O477" t="s">
        <v>18</v>
      </c>
    </row>
    <row r="478" spans="1:15">
      <c r="A478" t="s">
        <v>498</v>
      </c>
      <c r="B478" t="s">
        <v>23</v>
      </c>
      <c r="C478">
        <f>IF(B478="east",1,0)</f>
        <v>1</v>
      </c>
      <c r="D478" t="s">
        <v>24</v>
      </c>
      <c r="E478">
        <f>IF(D478="Guard",1,0)</f>
        <v>0</v>
      </c>
      <c r="F478">
        <f>IF(D478="Forward",1,0)</f>
        <v>1</v>
      </c>
      <c r="G478">
        <v>22</v>
      </c>
      <c r="H478">
        <v>3</v>
      </c>
      <c r="I478">
        <v>5.7</v>
      </c>
      <c r="J478">
        <v>1</v>
      </c>
      <c r="K478">
        <v>0.3</v>
      </c>
      <c r="L478">
        <v>3</v>
      </c>
      <c r="M478" s="1">
        <v>2896132</v>
      </c>
      <c r="N478" s="2">
        <f>IF(O478="US",1,0)</f>
        <v>1</v>
      </c>
      <c r="O478" t="s">
        <v>21</v>
      </c>
    </row>
    <row r="479" spans="1:15">
      <c r="A479" t="s">
        <v>499</v>
      </c>
      <c r="B479" t="s">
        <v>23</v>
      </c>
      <c r="C479">
        <f>IF(B479="east",1,0)</f>
        <v>1</v>
      </c>
      <c r="D479" t="s">
        <v>24</v>
      </c>
      <c r="E479">
        <f>IF(D479="Guard",1,0)</f>
        <v>0</v>
      </c>
      <c r="F479">
        <f>IF(D479="Forward",1,0)</f>
        <v>1</v>
      </c>
      <c r="G479">
        <v>25</v>
      </c>
      <c r="H479">
        <v>5</v>
      </c>
      <c r="I479">
        <v>6.6</v>
      </c>
      <c r="J479">
        <v>0.6</v>
      </c>
      <c r="K479">
        <v>0.8</v>
      </c>
      <c r="L479">
        <v>3</v>
      </c>
      <c r="M479" s="1">
        <v>815661</v>
      </c>
      <c r="N479" s="2">
        <f>IF(O479="US",1,0)</f>
        <v>0</v>
      </c>
      <c r="O479" t="s">
        <v>18</v>
      </c>
    </row>
    <row r="480" spans="1:15">
      <c r="A480" t="s">
        <v>500</v>
      </c>
      <c r="B480" t="s">
        <v>16</v>
      </c>
      <c r="C480">
        <f>IF(B480="east",1,0)</f>
        <v>0</v>
      </c>
      <c r="D480" t="s">
        <v>17</v>
      </c>
      <c r="E480">
        <f>IF(D480="Guard",1,0)</f>
        <v>1</v>
      </c>
      <c r="F480">
        <f>IF(D480="Forward",1,0)</f>
        <v>0</v>
      </c>
      <c r="G480">
        <v>29</v>
      </c>
      <c r="H480">
        <v>67</v>
      </c>
      <c r="I480">
        <v>14.6</v>
      </c>
      <c r="J480">
        <v>1.1000000000000001</v>
      </c>
      <c r="K480">
        <v>2.4</v>
      </c>
      <c r="L480">
        <v>3</v>
      </c>
      <c r="M480" s="1">
        <v>814552</v>
      </c>
      <c r="N480" s="2">
        <f>IF(O480="US",1,0)</f>
        <v>1</v>
      </c>
      <c r="O480" t="s">
        <v>21</v>
      </c>
    </row>
    <row r="481" spans="1:15">
      <c r="A481" t="s">
        <v>501</v>
      </c>
      <c r="B481" t="s">
        <v>23</v>
      </c>
      <c r="C481">
        <f>IF(B481="east",1,0)</f>
        <v>1</v>
      </c>
      <c r="D481" t="s">
        <v>17</v>
      </c>
      <c r="E481">
        <f>IF(D481="Guard",1,0)</f>
        <v>1</v>
      </c>
      <c r="F481">
        <f>IF(D481="Forward",1,0)</f>
        <v>0</v>
      </c>
      <c r="G481">
        <v>30</v>
      </c>
      <c r="H481">
        <v>6</v>
      </c>
      <c r="I481">
        <v>10.8</v>
      </c>
      <c r="J481">
        <v>1.2</v>
      </c>
      <c r="K481">
        <v>1.5</v>
      </c>
      <c r="L481">
        <v>3</v>
      </c>
      <c r="M481" s="1">
        <v>321184</v>
      </c>
      <c r="N481" s="2">
        <f>IF(O481="US",1,0)</f>
        <v>1</v>
      </c>
      <c r="O481" t="s">
        <v>21</v>
      </c>
    </row>
    <row r="482" spans="1:15">
      <c r="A482" t="s">
        <v>502</v>
      </c>
      <c r="B482" t="s">
        <v>16</v>
      </c>
      <c r="C482">
        <f>IF(B482="east",1,0)</f>
        <v>0</v>
      </c>
      <c r="D482" t="s">
        <v>24</v>
      </c>
      <c r="E482">
        <f>IF(D482="Guard",1,0)</f>
        <v>0</v>
      </c>
      <c r="F482">
        <f>IF(D482="Forward",1,0)</f>
        <v>1</v>
      </c>
      <c r="G482">
        <v>24</v>
      </c>
      <c r="H482">
        <v>4</v>
      </c>
      <c r="I482">
        <v>10</v>
      </c>
      <c r="J482">
        <v>1.3</v>
      </c>
      <c r="K482">
        <v>0.5</v>
      </c>
      <c r="L482">
        <v>3</v>
      </c>
      <c r="M482" s="1">
        <v>153622</v>
      </c>
      <c r="N482" s="2">
        <f>IF(O482="US",1,0)</f>
        <v>1</v>
      </c>
      <c r="O482" t="s">
        <v>21</v>
      </c>
    </row>
    <row r="483" spans="1:15">
      <c r="A483" t="s">
        <v>503</v>
      </c>
      <c r="B483" t="s">
        <v>16</v>
      </c>
      <c r="C483">
        <f>IF(B483="east",1,0)</f>
        <v>0</v>
      </c>
      <c r="D483" t="s">
        <v>17</v>
      </c>
      <c r="E483">
        <f>IF(D483="Guard",1,0)</f>
        <v>1</v>
      </c>
      <c r="F483">
        <f>IF(D483="Forward",1,0)</f>
        <v>0</v>
      </c>
      <c r="G483">
        <v>22</v>
      </c>
      <c r="H483">
        <v>16</v>
      </c>
      <c r="I483">
        <v>7.4</v>
      </c>
      <c r="J483">
        <v>0.8</v>
      </c>
      <c r="K483">
        <v>0.6</v>
      </c>
      <c r="L483">
        <v>2.9</v>
      </c>
      <c r="M483" s="1">
        <v>5480297</v>
      </c>
      <c r="N483" s="2">
        <f>IF(O483="US",1,0)</f>
        <v>1</v>
      </c>
      <c r="O483" t="s">
        <v>21</v>
      </c>
    </row>
    <row r="484" spans="1:15">
      <c r="A484" t="s">
        <v>504</v>
      </c>
      <c r="B484" t="s">
        <v>16</v>
      </c>
      <c r="C484">
        <f>IF(B484="east",1,0)</f>
        <v>0</v>
      </c>
      <c r="D484" t="s">
        <v>17</v>
      </c>
      <c r="E484">
        <f>IF(D484="Guard",1,0)</f>
        <v>1</v>
      </c>
      <c r="F484">
        <f>IF(D484="Forward",1,0)</f>
        <v>0</v>
      </c>
      <c r="G484">
        <v>40</v>
      </c>
      <c r="H484">
        <v>16</v>
      </c>
      <c r="I484">
        <v>14.3</v>
      </c>
      <c r="J484">
        <v>1.8</v>
      </c>
      <c r="K484">
        <v>3.3</v>
      </c>
      <c r="L484">
        <v>2.9</v>
      </c>
      <c r="M484" s="1">
        <v>3634153</v>
      </c>
      <c r="N484" s="2">
        <f>IF(O484="US",1,0)</f>
        <v>1</v>
      </c>
      <c r="O484" t="s">
        <v>21</v>
      </c>
    </row>
    <row r="485" spans="1:15">
      <c r="A485" t="s">
        <v>505</v>
      </c>
      <c r="B485" t="s">
        <v>16</v>
      </c>
      <c r="C485">
        <f>IF(B485="east",1,0)</f>
        <v>0</v>
      </c>
      <c r="D485" t="s">
        <v>24</v>
      </c>
      <c r="E485">
        <f>IF(D485="Guard",1,0)</f>
        <v>0</v>
      </c>
      <c r="F485">
        <f>IF(D485="Forward",1,0)</f>
        <v>1</v>
      </c>
      <c r="G485">
        <v>22</v>
      </c>
      <c r="H485">
        <v>48</v>
      </c>
      <c r="I485">
        <v>8.9</v>
      </c>
      <c r="J485">
        <v>1</v>
      </c>
      <c r="K485">
        <v>0.2</v>
      </c>
      <c r="L485">
        <v>2.9</v>
      </c>
      <c r="M485" s="1">
        <v>2221677</v>
      </c>
      <c r="N485" s="2">
        <f>IF(O485="US",1,0)</f>
        <v>1</v>
      </c>
      <c r="O485" t="s">
        <v>21</v>
      </c>
    </row>
    <row r="486" spans="1:15">
      <c r="A486" t="s">
        <v>506</v>
      </c>
      <c r="B486" t="s">
        <v>16</v>
      </c>
      <c r="C486">
        <f>IF(B486="east",1,0)</f>
        <v>0</v>
      </c>
      <c r="D486" t="s">
        <v>29</v>
      </c>
      <c r="E486">
        <f>IF(D486="Guard",1,0)</f>
        <v>0</v>
      </c>
      <c r="F486">
        <f>IF(D486="Forward",1,0)</f>
        <v>0</v>
      </c>
      <c r="G486">
        <v>29</v>
      </c>
      <c r="H486">
        <v>32</v>
      </c>
      <c r="I486">
        <v>8.1</v>
      </c>
      <c r="J486">
        <v>1.2</v>
      </c>
      <c r="K486">
        <v>0.3</v>
      </c>
      <c r="L486">
        <v>2.9</v>
      </c>
      <c r="M486" s="1">
        <v>2221677</v>
      </c>
      <c r="N486" s="2">
        <f>IF(O486="US",1,0)</f>
        <v>0</v>
      </c>
      <c r="O486" t="s">
        <v>18</v>
      </c>
    </row>
    <row r="487" spans="1:15">
      <c r="A487" t="s">
        <v>507</v>
      </c>
      <c r="B487" t="s">
        <v>16</v>
      </c>
      <c r="C487">
        <f>IF(B487="east",1,0)</f>
        <v>0</v>
      </c>
      <c r="D487" t="s">
        <v>17</v>
      </c>
      <c r="E487">
        <f>IF(D487="Guard",1,0)</f>
        <v>1</v>
      </c>
      <c r="F487">
        <f>IF(D487="Forward",1,0)</f>
        <v>0</v>
      </c>
      <c r="G487">
        <v>21</v>
      </c>
      <c r="H487">
        <v>42</v>
      </c>
      <c r="I487">
        <v>8.9</v>
      </c>
      <c r="J487">
        <v>0.5</v>
      </c>
      <c r="K487">
        <v>1.2</v>
      </c>
      <c r="L487">
        <v>2.9</v>
      </c>
      <c r="M487" s="1">
        <v>1955377</v>
      </c>
      <c r="N487" s="2">
        <f>IF(O487="US",1,0)</f>
        <v>1</v>
      </c>
      <c r="O487" t="s">
        <v>21</v>
      </c>
    </row>
    <row r="488" spans="1:15">
      <c r="A488" t="s">
        <v>508</v>
      </c>
      <c r="B488" t="s">
        <v>16</v>
      </c>
      <c r="C488">
        <f>IF(B488="east",1,0)</f>
        <v>0</v>
      </c>
      <c r="D488" t="s">
        <v>17</v>
      </c>
      <c r="E488">
        <f>IF(D488="Guard",1,0)</f>
        <v>1</v>
      </c>
      <c r="F488">
        <f>IF(D488="Forward",1,0)</f>
        <v>0</v>
      </c>
      <c r="G488">
        <v>24</v>
      </c>
      <c r="H488">
        <v>10</v>
      </c>
      <c r="I488">
        <v>8.8000000000000007</v>
      </c>
      <c r="J488">
        <v>1.1000000000000001</v>
      </c>
      <c r="K488">
        <v>1</v>
      </c>
      <c r="L488">
        <v>2.9</v>
      </c>
      <c r="M488" s="1">
        <v>85300</v>
      </c>
      <c r="N488" s="2">
        <f>IF(O488="US",1,0)</f>
        <v>1</v>
      </c>
      <c r="O488" t="s">
        <v>21</v>
      </c>
    </row>
    <row r="489" spans="1:15">
      <c r="A489" t="s">
        <v>509</v>
      </c>
      <c r="B489" t="s">
        <v>16</v>
      </c>
      <c r="C489">
        <f>IF(B489="east",1,0)</f>
        <v>0</v>
      </c>
      <c r="D489" t="s">
        <v>24</v>
      </c>
      <c r="E489">
        <f>IF(D489="Guard",1,0)</f>
        <v>0</v>
      </c>
      <c r="F489">
        <f>IF(D489="Forward",1,0)</f>
        <v>1</v>
      </c>
      <c r="G489">
        <v>24</v>
      </c>
      <c r="H489">
        <v>11</v>
      </c>
      <c r="I489">
        <v>6.2</v>
      </c>
      <c r="J489">
        <v>1.2</v>
      </c>
      <c r="K489">
        <v>1.6</v>
      </c>
      <c r="L489">
        <v>2.9</v>
      </c>
      <c r="M489" s="1">
        <v>85300</v>
      </c>
      <c r="N489" s="2">
        <f>IF(O489="US",1,0)</f>
        <v>0</v>
      </c>
      <c r="O489" t="s">
        <v>18</v>
      </c>
    </row>
    <row r="490" spans="1:15">
      <c r="A490" t="s">
        <v>510</v>
      </c>
      <c r="B490" t="s">
        <v>16</v>
      </c>
      <c r="C490">
        <f>IF(B490="east",1,0)</f>
        <v>0</v>
      </c>
      <c r="D490" t="s">
        <v>29</v>
      </c>
      <c r="E490">
        <f>IF(D490="Guard",1,0)</f>
        <v>0</v>
      </c>
      <c r="F490">
        <f>IF(D490="Forward",1,0)</f>
        <v>0</v>
      </c>
      <c r="G490">
        <v>29</v>
      </c>
      <c r="H490">
        <v>21</v>
      </c>
      <c r="I490">
        <v>14.7</v>
      </c>
      <c r="J490">
        <v>5.6</v>
      </c>
      <c r="K490">
        <v>1.6</v>
      </c>
      <c r="L490">
        <v>2.8</v>
      </c>
      <c r="M490" s="1">
        <v>8000000</v>
      </c>
      <c r="N490" s="2">
        <f>IF(O490="US",1,0)</f>
        <v>1</v>
      </c>
      <c r="O490" t="s">
        <v>21</v>
      </c>
    </row>
    <row r="491" spans="1:15">
      <c r="A491" t="s">
        <v>511</v>
      </c>
      <c r="B491" t="s">
        <v>16</v>
      </c>
      <c r="C491">
        <f>IF(B491="east",1,0)</f>
        <v>0</v>
      </c>
      <c r="D491" t="s">
        <v>24</v>
      </c>
      <c r="E491">
        <f>IF(D491="Guard",1,0)</f>
        <v>0</v>
      </c>
      <c r="F491">
        <f>IF(D491="Forward",1,0)</f>
        <v>1</v>
      </c>
      <c r="G491">
        <v>30</v>
      </c>
      <c r="H491">
        <v>46</v>
      </c>
      <c r="I491">
        <v>8.8000000000000007</v>
      </c>
      <c r="J491">
        <v>1.6</v>
      </c>
      <c r="K491">
        <v>0.5</v>
      </c>
      <c r="L491">
        <v>2.8</v>
      </c>
      <c r="M491" s="1">
        <v>2667947</v>
      </c>
      <c r="N491" s="2">
        <f>IF(O491="US",1,0)</f>
        <v>1</v>
      </c>
      <c r="O491" t="s">
        <v>21</v>
      </c>
    </row>
    <row r="492" spans="1:15">
      <c r="A492" t="s">
        <v>512</v>
      </c>
      <c r="B492" t="s">
        <v>16</v>
      </c>
      <c r="C492">
        <f>IF(B492="east",1,0)</f>
        <v>0</v>
      </c>
      <c r="D492" t="s">
        <v>17</v>
      </c>
      <c r="E492">
        <f>IF(D492="Guard",1,0)</f>
        <v>1</v>
      </c>
      <c r="F492">
        <f>IF(D492="Forward",1,0)</f>
        <v>0</v>
      </c>
      <c r="G492">
        <v>20</v>
      </c>
      <c r="H492">
        <v>55</v>
      </c>
      <c r="I492">
        <v>8.6999999999999993</v>
      </c>
      <c r="J492">
        <v>1.4</v>
      </c>
      <c r="K492">
        <v>0.6</v>
      </c>
      <c r="L492">
        <v>2.8</v>
      </c>
      <c r="M492" s="1">
        <v>1955377</v>
      </c>
      <c r="N492" s="2">
        <f>IF(O492="US",1,0)</f>
        <v>1</v>
      </c>
      <c r="O492" t="s">
        <v>21</v>
      </c>
    </row>
    <row r="493" spans="1:15">
      <c r="A493" t="s">
        <v>513</v>
      </c>
      <c r="B493" t="s">
        <v>16</v>
      </c>
      <c r="C493">
        <f>IF(B493="east",1,0)</f>
        <v>0</v>
      </c>
      <c r="D493" t="s">
        <v>24</v>
      </c>
      <c r="E493">
        <f>IF(D493="Guard",1,0)</f>
        <v>0</v>
      </c>
      <c r="F493">
        <f>IF(D493="Forward",1,0)</f>
        <v>1</v>
      </c>
      <c r="G493">
        <v>24</v>
      </c>
      <c r="H493">
        <v>6</v>
      </c>
      <c r="I493">
        <v>4</v>
      </c>
      <c r="J493">
        <v>1.2</v>
      </c>
      <c r="K493">
        <v>0.3</v>
      </c>
      <c r="L493">
        <v>2.8</v>
      </c>
      <c r="M493" s="1">
        <v>190199</v>
      </c>
      <c r="N493" s="2">
        <f>IF(O493="US",1,0)</f>
        <v>0</v>
      </c>
      <c r="O493" t="s">
        <v>18</v>
      </c>
    </row>
    <row r="494" spans="1:15">
      <c r="A494" t="s">
        <v>514</v>
      </c>
      <c r="B494" t="s">
        <v>16</v>
      </c>
      <c r="C494">
        <f>IF(B494="east",1,0)</f>
        <v>0</v>
      </c>
      <c r="D494" t="s">
        <v>29</v>
      </c>
      <c r="E494">
        <f>IF(D494="Guard",1,0)</f>
        <v>0</v>
      </c>
      <c r="F494">
        <f>IF(D494="Forward",1,0)</f>
        <v>0</v>
      </c>
      <c r="G494">
        <v>19</v>
      </c>
      <c r="H494">
        <v>5</v>
      </c>
      <c r="I494">
        <v>7.2</v>
      </c>
      <c r="J494">
        <v>2.8</v>
      </c>
      <c r="K494">
        <v>0.4</v>
      </c>
      <c r="L494">
        <v>2.8</v>
      </c>
      <c r="M494" s="1">
        <v>85300</v>
      </c>
      <c r="N494" s="2">
        <f>IF(O494="US",1,0)</f>
        <v>0</v>
      </c>
      <c r="O494" t="s">
        <v>18</v>
      </c>
    </row>
    <row r="495" spans="1:15">
      <c r="A495" t="s">
        <v>515</v>
      </c>
      <c r="B495" t="s">
        <v>23</v>
      </c>
      <c r="C495">
        <f>IF(B495="east",1,0)</f>
        <v>1</v>
      </c>
      <c r="D495" t="s">
        <v>17</v>
      </c>
      <c r="E495">
        <f>IF(D495="Guard",1,0)</f>
        <v>1</v>
      </c>
      <c r="F495">
        <f>IF(D495="Forward",1,0)</f>
        <v>0</v>
      </c>
      <c r="G495">
        <v>31</v>
      </c>
      <c r="H495">
        <v>48</v>
      </c>
      <c r="I495">
        <v>13.8</v>
      </c>
      <c r="J495">
        <v>1.3</v>
      </c>
      <c r="K495">
        <v>1.1000000000000001</v>
      </c>
      <c r="L495">
        <v>2.7</v>
      </c>
      <c r="M495" s="1">
        <v>3634153</v>
      </c>
      <c r="N495" s="2">
        <f>IF(O495="US",1,0)</f>
        <v>1</v>
      </c>
      <c r="O495" t="s">
        <v>21</v>
      </c>
    </row>
    <row r="496" spans="1:15">
      <c r="A496" t="s">
        <v>516</v>
      </c>
      <c r="B496" t="s">
        <v>23</v>
      </c>
      <c r="C496">
        <f>IF(B496="east",1,0)</f>
        <v>1</v>
      </c>
      <c r="D496" t="s">
        <v>17</v>
      </c>
      <c r="E496">
        <f>IF(D496="Guard",1,0)</f>
        <v>1</v>
      </c>
      <c r="F496">
        <f>IF(D496="Forward",1,0)</f>
        <v>0</v>
      </c>
      <c r="G496">
        <v>25</v>
      </c>
      <c r="H496">
        <v>10</v>
      </c>
      <c r="I496">
        <v>6.8</v>
      </c>
      <c r="J496">
        <v>0.8</v>
      </c>
      <c r="K496">
        <v>0.3</v>
      </c>
      <c r="L496">
        <v>2.7</v>
      </c>
      <c r="M496" s="1">
        <v>85300</v>
      </c>
      <c r="N496" s="2">
        <f>IF(O496="US",1,0)</f>
        <v>1</v>
      </c>
      <c r="O496" t="s">
        <v>21</v>
      </c>
    </row>
    <row r="497" spans="1:15">
      <c r="A497" t="s">
        <v>517</v>
      </c>
      <c r="B497" t="s">
        <v>23</v>
      </c>
      <c r="C497">
        <f>IF(B497="east",1,0)</f>
        <v>1</v>
      </c>
      <c r="D497" t="s">
        <v>24</v>
      </c>
      <c r="E497">
        <f>IF(D497="Guard",1,0)</f>
        <v>0</v>
      </c>
      <c r="F497">
        <f>IF(D497="Forward",1,0)</f>
        <v>1</v>
      </c>
      <c r="G497">
        <v>28</v>
      </c>
      <c r="H497">
        <v>52</v>
      </c>
      <c r="I497">
        <v>10</v>
      </c>
      <c r="J497">
        <v>2.5</v>
      </c>
      <c r="K497">
        <v>0.4</v>
      </c>
      <c r="L497">
        <v>2.6</v>
      </c>
      <c r="M497" s="1">
        <v>15000000</v>
      </c>
      <c r="N497" s="2">
        <f>IF(O497="US",1,0)</f>
        <v>1</v>
      </c>
      <c r="O497" t="s">
        <v>21</v>
      </c>
    </row>
    <row r="498" spans="1:15">
      <c r="A498" t="s">
        <v>518</v>
      </c>
      <c r="B498" t="s">
        <v>23</v>
      </c>
      <c r="C498">
        <f>IF(B498="east",1,0)</f>
        <v>1</v>
      </c>
      <c r="D498" t="s">
        <v>17</v>
      </c>
      <c r="E498">
        <f>IF(D498="Guard",1,0)</f>
        <v>1</v>
      </c>
      <c r="F498">
        <f>IF(D498="Forward",1,0)</f>
        <v>0</v>
      </c>
      <c r="G498">
        <v>33</v>
      </c>
      <c r="H498">
        <v>42</v>
      </c>
      <c r="I498">
        <v>7.1</v>
      </c>
      <c r="J498">
        <v>1.5</v>
      </c>
      <c r="K498">
        <v>0.4</v>
      </c>
      <c r="L498">
        <v>2.6</v>
      </c>
      <c r="M498" s="1">
        <v>1315814</v>
      </c>
      <c r="N498" s="2">
        <f>IF(O498="US",1,0)</f>
        <v>1</v>
      </c>
      <c r="O498" t="s">
        <v>21</v>
      </c>
    </row>
    <row r="499" spans="1:15">
      <c r="A499" t="s">
        <v>519</v>
      </c>
      <c r="B499" t="s">
        <v>23</v>
      </c>
      <c r="C499">
        <f>IF(B499="east",1,0)</f>
        <v>1</v>
      </c>
      <c r="D499" t="s">
        <v>17</v>
      </c>
      <c r="E499">
        <f>IF(D499="Guard",1,0)</f>
        <v>1</v>
      </c>
      <c r="F499">
        <f>IF(D499="Forward",1,0)</f>
        <v>0</v>
      </c>
      <c r="G499">
        <v>24</v>
      </c>
      <c r="H499">
        <v>6</v>
      </c>
      <c r="I499">
        <v>7</v>
      </c>
      <c r="J499">
        <v>1</v>
      </c>
      <c r="K499">
        <v>0.3</v>
      </c>
      <c r="L499">
        <v>2.5</v>
      </c>
      <c r="M499" s="1">
        <v>552309</v>
      </c>
      <c r="N499" s="2">
        <f>IF(O499="US",1,0)</f>
        <v>1</v>
      </c>
      <c r="O499" t="s">
        <v>21</v>
      </c>
    </row>
    <row r="500" spans="1:15">
      <c r="A500" t="s">
        <v>520</v>
      </c>
      <c r="B500" t="s">
        <v>16</v>
      </c>
      <c r="C500">
        <f>IF(B500="east",1,0)</f>
        <v>0</v>
      </c>
      <c r="D500" t="s">
        <v>17</v>
      </c>
      <c r="E500">
        <f>IF(D500="Guard",1,0)</f>
        <v>1</v>
      </c>
      <c r="F500">
        <f>IF(D500="Forward",1,0)</f>
        <v>0</v>
      </c>
      <c r="G500">
        <v>23</v>
      </c>
      <c r="H500">
        <v>28</v>
      </c>
      <c r="I500">
        <v>7.8</v>
      </c>
      <c r="J500">
        <v>1.2</v>
      </c>
      <c r="K500">
        <v>1.3</v>
      </c>
      <c r="L500">
        <v>2.5</v>
      </c>
      <c r="M500" s="1">
        <v>82030</v>
      </c>
      <c r="N500" s="2">
        <f>IF(O500="US",1,0)</f>
        <v>1</v>
      </c>
      <c r="O500" t="s">
        <v>21</v>
      </c>
    </row>
    <row r="501" spans="1:15">
      <c r="A501" t="s">
        <v>521</v>
      </c>
      <c r="B501" t="s">
        <v>16</v>
      </c>
      <c r="C501">
        <f>IF(B501="east",1,0)</f>
        <v>0</v>
      </c>
      <c r="D501" t="s">
        <v>17</v>
      </c>
      <c r="E501">
        <f>IF(D501="Guard",1,0)</f>
        <v>1</v>
      </c>
      <c r="F501">
        <f>IF(D501="Forward",1,0)</f>
        <v>0</v>
      </c>
      <c r="G501">
        <v>28</v>
      </c>
      <c r="H501">
        <v>40</v>
      </c>
      <c r="I501">
        <v>7.1</v>
      </c>
      <c r="J501">
        <v>0.7</v>
      </c>
      <c r="K501">
        <v>0.5</v>
      </c>
      <c r="L501">
        <v>2.4</v>
      </c>
      <c r="M501" s="1">
        <v>2461463</v>
      </c>
      <c r="N501" s="2">
        <f>IF(O501="US",1,0)</f>
        <v>1</v>
      </c>
      <c r="O501" t="s">
        <v>21</v>
      </c>
    </row>
    <row r="502" spans="1:15">
      <c r="A502" t="s">
        <v>522</v>
      </c>
      <c r="B502" t="s">
        <v>23</v>
      </c>
      <c r="C502">
        <f>IF(B502="east",1,0)</f>
        <v>1</v>
      </c>
      <c r="D502" t="s">
        <v>17</v>
      </c>
      <c r="E502">
        <f>IF(D502="Guard",1,0)</f>
        <v>1</v>
      </c>
      <c r="F502">
        <f>IF(D502="Forward",1,0)</f>
        <v>0</v>
      </c>
      <c r="G502">
        <v>24</v>
      </c>
      <c r="H502">
        <v>48</v>
      </c>
      <c r="I502">
        <v>8.5</v>
      </c>
      <c r="J502">
        <v>1.5</v>
      </c>
      <c r="K502">
        <v>0.9</v>
      </c>
      <c r="L502">
        <v>2.4</v>
      </c>
      <c r="M502" s="1">
        <v>2221677</v>
      </c>
      <c r="N502" s="2">
        <f>IF(O502="US",1,0)</f>
        <v>1</v>
      </c>
      <c r="O502" t="s">
        <v>21</v>
      </c>
    </row>
    <row r="503" spans="1:15">
      <c r="A503" t="s">
        <v>523</v>
      </c>
      <c r="B503" t="s">
        <v>23</v>
      </c>
      <c r="C503">
        <f>IF(B503="east",1,0)</f>
        <v>1</v>
      </c>
      <c r="D503" t="s">
        <v>17</v>
      </c>
      <c r="E503">
        <f>IF(D503="Guard",1,0)</f>
        <v>1</v>
      </c>
      <c r="F503">
        <f>IF(D503="Forward",1,0)</f>
        <v>0</v>
      </c>
      <c r="G503">
        <v>24</v>
      </c>
      <c r="H503">
        <v>34</v>
      </c>
      <c r="I503">
        <v>7.7</v>
      </c>
      <c r="J503">
        <v>0.7</v>
      </c>
      <c r="K503">
        <v>0.5</v>
      </c>
      <c r="L503">
        <v>2.4</v>
      </c>
      <c r="M503" s="1">
        <v>1272870</v>
      </c>
      <c r="N503" s="2">
        <f>IF(O503="US",1,0)</f>
        <v>1</v>
      </c>
      <c r="O503" t="s">
        <v>21</v>
      </c>
    </row>
    <row r="504" spans="1:15">
      <c r="A504" t="s">
        <v>524</v>
      </c>
      <c r="B504" t="s">
        <v>16</v>
      </c>
      <c r="C504">
        <f>IF(B504="east",1,0)</f>
        <v>0</v>
      </c>
      <c r="D504" t="s">
        <v>29</v>
      </c>
      <c r="E504">
        <f>IF(D504="Guard",1,0)</f>
        <v>0</v>
      </c>
      <c r="F504">
        <f>IF(D504="Forward",1,0)</f>
        <v>0</v>
      </c>
      <c r="G504">
        <v>25</v>
      </c>
      <c r="H504">
        <v>5</v>
      </c>
      <c r="I504">
        <v>8.4</v>
      </c>
      <c r="J504">
        <v>1</v>
      </c>
      <c r="K504">
        <v>0.4</v>
      </c>
      <c r="L504">
        <v>2.4</v>
      </c>
      <c r="M504" s="1">
        <v>85300</v>
      </c>
      <c r="N504" s="2">
        <f>IF(O504="US",1,0)</f>
        <v>1</v>
      </c>
      <c r="O504" t="s">
        <v>21</v>
      </c>
    </row>
    <row r="505" spans="1:15">
      <c r="A505" t="s">
        <v>525</v>
      </c>
      <c r="B505" t="s">
        <v>23</v>
      </c>
      <c r="C505">
        <f>IF(B505="east",1,0)</f>
        <v>1</v>
      </c>
      <c r="D505" t="s">
        <v>24</v>
      </c>
      <c r="E505">
        <f>IF(D505="Guard",1,0)</f>
        <v>0</v>
      </c>
      <c r="F505">
        <f>IF(D505="Forward",1,0)</f>
        <v>1</v>
      </c>
      <c r="G505">
        <v>24</v>
      </c>
      <c r="H505">
        <v>21</v>
      </c>
      <c r="I505">
        <v>7.4</v>
      </c>
      <c r="J505">
        <v>1.3</v>
      </c>
      <c r="K505">
        <v>1</v>
      </c>
      <c r="L505">
        <v>2.4</v>
      </c>
      <c r="M505" s="1">
        <v>85300</v>
      </c>
      <c r="N505" s="2">
        <f>IF(O505="US",1,0)</f>
        <v>1</v>
      </c>
      <c r="O505" t="s">
        <v>21</v>
      </c>
    </row>
    <row r="506" spans="1:15">
      <c r="A506" t="s">
        <v>526</v>
      </c>
      <c r="B506" t="s">
        <v>23</v>
      </c>
      <c r="C506">
        <f>IF(B506="east",1,0)</f>
        <v>1</v>
      </c>
      <c r="D506" t="s">
        <v>29</v>
      </c>
      <c r="E506">
        <f>IF(D506="Guard",1,0)</f>
        <v>0</v>
      </c>
      <c r="F506">
        <f>IF(D506="Forward",1,0)</f>
        <v>0</v>
      </c>
      <c r="G506">
        <v>22</v>
      </c>
      <c r="H506">
        <v>37</v>
      </c>
      <c r="I506">
        <v>9.3000000000000007</v>
      </c>
      <c r="J506">
        <v>3</v>
      </c>
      <c r="K506">
        <v>1.1000000000000001</v>
      </c>
      <c r="L506">
        <v>2.4</v>
      </c>
      <c r="M506" s="1">
        <v>85300</v>
      </c>
      <c r="N506" s="2">
        <f>IF(O506="US",1,0)</f>
        <v>0</v>
      </c>
      <c r="O506" t="s">
        <v>18</v>
      </c>
    </row>
    <row r="507" spans="1:15">
      <c r="A507" t="s">
        <v>527</v>
      </c>
      <c r="B507" t="s">
        <v>23</v>
      </c>
      <c r="C507">
        <f>IF(B507="east",1,0)</f>
        <v>1</v>
      </c>
      <c r="D507" t="s">
        <v>24</v>
      </c>
      <c r="E507">
        <f>IF(D507="Guard",1,0)</f>
        <v>0</v>
      </c>
      <c r="F507">
        <f>IF(D507="Forward",1,0)</f>
        <v>1</v>
      </c>
      <c r="G507">
        <v>33</v>
      </c>
      <c r="H507">
        <v>9</v>
      </c>
      <c r="I507">
        <v>10.4</v>
      </c>
      <c r="J507">
        <v>2</v>
      </c>
      <c r="K507">
        <v>0.3</v>
      </c>
      <c r="L507">
        <v>2.2999999999999998</v>
      </c>
      <c r="M507" s="1">
        <v>3287409</v>
      </c>
      <c r="N507" s="2">
        <f>IF(O507="US",1,0)</f>
        <v>0</v>
      </c>
      <c r="O507" t="s">
        <v>18</v>
      </c>
    </row>
    <row r="508" spans="1:15">
      <c r="A508" t="s">
        <v>528</v>
      </c>
      <c r="B508" t="s">
        <v>23</v>
      </c>
      <c r="C508">
        <f>IF(B508="east",1,0)</f>
        <v>1</v>
      </c>
      <c r="D508" t="s">
        <v>24</v>
      </c>
      <c r="E508">
        <f>IF(D508="Guard",1,0)</f>
        <v>0</v>
      </c>
      <c r="F508">
        <f>IF(D508="Forward",1,0)</f>
        <v>1</v>
      </c>
      <c r="G508">
        <v>23</v>
      </c>
      <c r="H508">
        <v>18</v>
      </c>
      <c r="I508">
        <v>4.2</v>
      </c>
      <c r="J508">
        <v>0.6</v>
      </c>
      <c r="K508">
        <v>0.2</v>
      </c>
      <c r="L508">
        <v>2.2999999999999998</v>
      </c>
      <c r="M508" s="1">
        <v>724598</v>
      </c>
      <c r="N508" s="2">
        <f>IF(O508="US",1,0)</f>
        <v>0</v>
      </c>
      <c r="O508" t="s">
        <v>18</v>
      </c>
    </row>
    <row r="509" spans="1:15">
      <c r="A509" t="s">
        <v>529</v>
      </c>
      <c r="B509" t="s">
        <v>23</v>
      </c>
      <c r="C509">
        <f>IF(B509="east",1,0)</f>
        <v>1</v>
      </c>
      <c r="D509" t="s">
        <v>17</v>
      </c>
      <c r="E509">
        <f>IF(D509="Guard",1,0)</f>
        <v>1</v>
      </c>
      <c r="F509">
        <f>IF(D509="Forward",1,0)</f>
        <v>0</v>
      </c>
      <c r="G509">
        <v>24</v>
      </c>
      <c r="H509">
        <v>12</v>
      </c>
      <c r="I509">
        <v>8.6</v>
      </c>
      <c r="J509">
        <v>2</v>
      </c>
      <c r="K509">
        <v>0.8</v>
      </c>
      <c r="L509">
        <v>2.2999999999999998</v>
      </c>
      <c r="M509" s="1">
        <v>376740</v>
      </c>
      <c r="N509" s="2">
        <f>IF(O509="US",1,0)</f>
        <v>0</v>
      </c>
      <c r="O509" t="s">
        <v>18</v>
      </c>
    </row>
    <row r="510" spans="1:15">
      <c r="A510" t="s">
        <v>530</v>
      </c>
      <c r="B510" t="s">
        <v>16</v>
      </c>
      <c r="C510">
        <f>IF(B510="east",1,0)</f>
        <v>0</v>
      </c>
      <c r="D510" t="s">
        <v>29</v>
      </c>
      <c r="E510">
        <f>IF(D510="Guard",1,0)</f>
        <v>0</v>
      </c>
      <c r="F510">
        <f>IF(D510="Forward",1,0)</f>
        <v>0</v>
      </c>
      <c r="G510">
        <v>20</v>
      </c>
      <c r="H510">
        <v>43</v>
      </c>
      <c r="I510">
        <v>7</v>
      </c>
      <c r="J510">
        <v>1.5</v>
      </c>
      <c r="K510">
        <v>0.5</v>
      </c>
      <c r="L510">
        <v>2.2000000000000002</v>
      </c>
      <c r="M510" s="1">
        <v>4422360</v>
      </c>
      <c r="N510" s="2">
        <f>IF(O510="US",1,0)</f>
        <v>0</v>
      </c>
      <c r="O510" t="s">
        <v>18</v>
      </c>
    </row>
    <row r="511" spans="1:15">
      <c r="A511" t="s">
        <v>531</v>
      </c>
      <c r="B511" t="s">
        <v>16</v>
      </c>
      <c r="C511">
        <f>IF(B511="east",1,0)</f>
        <v>0</v>
      </c>
      <c r="D511" t="s">
        <v>24</v>
      </c>
      <c r="E511">
        <f>IF(D511="Guard",1,0)</f>
        <v>0</v>
      </c>
      <c r="F511">
        <f>IF(D511="Forward",1,0)</f>
        <v>1</v>
      </c>
      <c r="G511">
        <v>39</v>
      </c>
      <c r="H511">
        <v>30</v>
      </c>
      <c r="I511">
        <v>5.8</v>
      </c>
      <c r="J511">
        <v>0.8</v>
      </c>
      <c r="K511">
        <v>0.3</v>
      </c>
      <c r="L511">
        <v>2.2000000000000002</v>
      </c>
      <c r="M511" s="1">
        <v>3634153</v>
      </c>
      <c r="N511" s="2">
        <f>IF(O511="US",1,0)</f>
        <v>1</v>
      </c>
      <c r="O511" t="s">
        <v>21</v>
      </c>
    </row>
    <row r="512" spans="1:15">
      <c r="A512" t="s">
        <v>532</v>
      </c>
      <c r="B512" t="s">
        <v>16</v>
      </c>
      <c r="C512">
        <f>IF(B512="east",1,0)</f>
        <v>0</v>
      </c>
      <c r="D512" t="s">
        <v>24</v>
      </c>
      <c r="E512">
        <f>IF(D512="Guard",1,0)</f>
        <v>0</v>
      </c>
      <c r="F512">
        <f>IF(D512="Forward",1,0)</f>
        <v>1</v>
      </c>
      <c r="G512">
        <v>25</v>
      </c>
      <c r="H512">
        <v>21</v>
      </c>
      <c r="I512">
        <v>7.7</v>
      </c>
      <c r="J512">
        <v>1.7</v>
      </c>
      <c r="K512">
        <v>0.8</v>
      </c>
      <c r="L512">
        <v>2.2000000000000002</v>
      </c>
      <c r="M512" s="1">
        <v>2221677</v>
      </c>
      <c r="N512" s="2">
        <f>IF(O512="US",1,0)</f>
        <v>1</v>
      </c>
      <c r="O512" t="s">
        <v>21</v>
      </c>
    </row>
    <row r="513" spans="1:15">
      <c r="A513" t="s">
        <v>533</v>
      </c>
      <c r="B513" t="s">
        <v>23</v>
      </c>
      <c r="C513">
        <f>IF(B513="east",1,0)</f>
        <v>1</v>
      </c>
      <c r="D513" t="s">
        <v>29</v>
      </c>
      <c r="E513">
        <f>IF(D513="Guard",1,0)</f>
        <v>0</v>
      </c>
      <c r="F513">
        <f>IF(D513="Forward",1,0)</f>
        <v>0</v>
      </c>
      <c r="G513">
        <v>23</v>
      </c>
      <c r="H513">
        <v>54</v>
      </c>
      <c r="I513">
        <v>9.1999999999999993</v>
      </c>
      <c r="J513">
        <v>2.9</v>
      </c>
      <c r="K513">
        <v>0.5</v>
      </c>
      <c r="L513">
        <v>2.2000000000000002</v>
      </c>
      <c r="M513" s="1">
        <v>1955377</v>
      </c>
      <c r="N513" s="2">
        <f>IF(O513="US",1,0)</f>
        <v>0</v>
      </c>
      <c r="O513" t="s">
        <v>18</v>
      </c>
    </row>
    <row r="514" spans="1:15">
      <c r="A514" t="s">
        <v>534</v>
      </c>
      <c r="B514" t="s">
        <v>23</v>
      </c>
      <c r="C514">
        <f>IF(B514="east",1,0)</f>
        <v>1</v>
      </c>
      <c r="D514" t="s">
        <v>17</v>
      </c>
      <c r="E514">
        <f>IF(D514="Guard",1,0)</f>
        <v>1</v>
      </c>
      <c r="F514">
        <f>IF(D514="Forward",1,0)</f>
        <v>0</v>
      </c>
      <c r="G514">
        <v>24</v>
      </c>
      <c r="H514">
        <v>23</v>
      </c>
      <c r="I514">
        <v>6.3</v>
      </c>
      <c r="J514">
        <v>0.9</v>
      </c>
      <c r="K514">
        <v>0.5</v>
      </c>
      <c r="L514">
        <v>2.2000000000000002</v>
      </c>
      <c r="M514" s="1">
        <v>85300</v>
      </c>
      <c r="N514" s="2">
        <f>IF(O514="US",1,0)</f>
        <v>1</v>
      </c>
      <c r="O514" t="s">
        <v>21</v>
      </c>
    </row>
    <row r="515" spans="1:15">
      <c r="A515" t="s">
        <v>535</v>
      </c>
      <c r="B515" t="s">
        <v>16</v>
      </c>
      <c r="C515">
        <f>IF(B515="east",1,0)</f>
        <v>0</v>
      </c>
      <c r="D515" t="s">
        <v>24</v>
      </c>
      <c r="E515">
        <f>IF(D515="Guard",1,0)</f>
        <v>0</v>
      </c>
      <c r="F515">
        <f>IF(D515="Forward",1,0)</f>
        <v>1</v>
      </c>
      <c r="G515">
        <v>34</v>
      </c>
      <c r="H515">
        <v>43</v>
      </c>
      <c r="I515">
        <v>10.7</v>
      </c>
      <c r="J515">
        <v>2</v>
      </c>
      <c r="K515">
        <v>0.6</v>
      </c>
      <c r="L515">
        <v>2</v>
      </c>
      <c r="M515" s="1">
        <v>11000000</v>
      </c>
      <c r="N515" s="2">
        <f>IF(O515="US",1,0)</f>
        <v>0</v>
      </c>
      <c r="O515" t="s">
        <v>18</v>
      </c>
    </row>
    <row r="516" spans="1:15">
      <c r="A516" t="s">
        <v>536</v>
      </c>
      <c r="B516" t="s">
        <v>16</v>
      </c>
      <c r="C516">
        <f>IF(B516="east",1,0)</f>
        <v>0</v>
      </c>
      <c r="D516" t="s">
        <v>17</v>
      </c>
      <c r="E516">
        <f>IF(D516="Guard",1,0)</f>
        <v>1</v>
      </c>
      <c r="F516">
        <f>IF(D516="Forward",1,0)</f>
        <v>0</v>
      </c>
      <c r="G516">
        <v>29</v>
      </c>
      <c r="H516">
        <v>44</v>
      </c>
      <c r="I516">
        <v>6.4</v>
      </c>
      <c r="J516">
        <v>0.7</v>
      </c>
      <c r="K516">
        <v>0.9</v>
      </c>
      <c r="L516">
        <v>2</v>
      </c>
      <c r="M516" s="1">
        <v>2874436</v>
      </c>
      <c r="N516" s="2">
        <f>IF(O516="US",1,0)</f>
        <v>1</v>
      </c>
      <c r="O516" t="s">
        <v>21</v>
      </c>
    </row>
    <row r="517" spans="1:15">
      <c r="A517" t="s">
        <v>537</v>
      </c>
      <c r="B517" t="s">
        <v>16</v>
      </c>
      <c r="C517">
        <f>IF(B517="east",1,0)</f>
        <v>0</v>
      </c>
      <c r="D517" t="s">
        <v>17</v>
      </c>
      <c r="E517">
        <f>IF(D517="Guard",1,0)</f>
        <v>1</v>
      </c>
      <c r="F517">
        <f>IF(D517="Forward",1,0)</f>
        <v>0</v>
      </c>
      <c r="G517">
        <v>24</v>
      </c>
      <c r="H517">
        <v>21</v>
      </c>
      <c r="I517">
        <v>4.2</v>
      </c>
      <c r="J517">
        <v>0.8</v>
      </c>
      <c r="K517">
        <v>0.3</v>
      </c>
      <c r="L517">
        <v>2</v>
      </c>
      <c r="M517" s="1">
        <v>636435</v>
      </c>
      <c r="N517" s="2">
        <f>IF(O517="US",1,0)</f>
        <v>1</v>
      </c>
      <c r="O517" t="s">
        <v>21</v>
      </c>
    </row>
    <row r="518" spans="1:15">
      <c r="A518" t="s">
        <v>538</v>
      </c>
      <c r="B518" t="s">
        <v>23</v>
      </c>
      <c r="C518">
        <f>IF(B518="east",1,0)</f>
        <v>1</v>
      </c>
      <c r="D518" t="s">
        <v>17</v>
      </c>
      <c r="E518">
        <f>IF(D518="Guard",1,0)</f>
        <v>1</v>
      </c>
      <c r="F518">
        <f>IF(D518="Forward",1,0)</f>
        <v>0</v>
      </c>
      <c r="G518">
        <v>28</v>
      </c>
      <c r="H518">
        <v>4</v>
      </c>
      <c r="I518">
        <v>6</v>
      </c>
      <c r="J518">
        <v>0.8</v>
      </c>
      <c r="K518">
        <v>1</v>
      </c>
      <c r="L518">
        <v>2</v>
      </c>
      <c r="M518" s="1">
        <v>201172</v>
      </c>
      <c r="N518" s="2">
        <f>IF(O518="US",1,0)</f>
        <v>1</v>
      </c>
      <c r="O518" t="s">
        <v>21</v>
      </c>
    </row>
    <row r="519" spans="1:15">
      <c r="A519" t="s">
        <v>539</v>
      </c>
      <c r="B519" t="s">
        <v>16</v>
      </c>
      <c r="C519">
        <f>IF(B519="east",1,0)</f>
        <v>0</v>
      </c>
      <c r="D519" t="s">
        <v>24</v>
      </c>
      <c r="E519">
        <f>IF(D519="Guard",1,0)</f>
        <v>0</v>
      </c>
      <c r="F519">
        <f>IF(D519="Forward",1,0)</f>
        <v>1</v>
      </c>
      <c r="G519">
        <v>23</v>
      </c>
      <c r="H519">
        <v>5</v>
      </c>
      <c r="I519">
        <v>4.4000000000000004</v>
      </c>
      <c r="J519">
        <v>1</v>
      </c>
      <c r="K519">
        <v>0</v>
      </c>
      <c r="L519">
        <v>2</v>
      </c>
      <c r="M519" s="1">
        <v>149965</v>
      </c>
      <c r="N519" s="2">
        <f>IF(O519="US",1,0)</f>
        <v>1</v>
      </c>
      <c r="O519" t="s">
        <v>21</v>
      </c>
    </row>
    <row r="520" spans="1:15">
      <c r="A520" t="s">
        <v>540</v>
      </c>
      <c r="B520" t="s">
        <v>16</v>
      </c>
      <c r="C520">
        <f>IF(B520="east",1,0)</f>
        <v>0</v>
      </c>
      <c r="D520" t="s">
        <v>24</v>
      </c>
      <c r="E520">
        <f>IF(D520="Guard",1,0)</f>
        <v>0</v>
      </c>
      <c r="F520">
        <f>IF(D520="Forward",1,0)</f>
        <v>1</v>
      </c>
      <c r="G520">
        <v>24</v>
      </c>
      <c r="H520">
        <v>14</v>
      </c>
      <c r="I520">
        <v>6.6</v>
      </c>
      <c r="J520">
        <v>1.1000000000000001</v>
      </c>
      <c r="K520">
        <v>0.4</v>
      </c>
      <c r="L520">
        <v>2</v>
      </c>
      <c r="M520" s="1">
        <v>85300</v>
      </c>
      <c r="N520" s="2">
        <f>IF(O520="US",1,0)</f>
        <v>1</v>
      </c>
      <c r="O520" t="s">
        <v>21</v>
      </c>
    </row>
    <row r="521" spans="1:15">
      <c r="A521" t="s">
        <v>541</v>
      </c>
      <c r="B521" t="s">
        <v>23</v>
      </c>
      <c r="C521">
        <f>IF(B521="east",1,0)</f>
        <v>1</v>
      </c>
      <c r="D521" t="s">
        <v>24</v>
      </c>
      <c r="E521">
        <f>IF(D521="Guard",1,0)</f>
        <v>0</v>
      </c>
      <c r="F521">
        <f>IF(D521="Forward",1,0)</f>
        <v>1</v>
      </c>
      <c r="G521">
        <v>20</v>
      </c>
      <c r="H521">
        <v>2</v>
      </c>
      <c r="I521">
        <v>3</v>
      </c>
      <c r="J521">
        <v>0.5</v>
      </c>
      <c r="K521">
        <v>0.5</v>
      </c>
      <c r="L521">
        <v>2</v>
      </c>
      <c r="M521" s="1">
        <v>85300</v>
      </c>
      <c r="N521" s="2">
        <f>IF(O521="US",1,0)</f>
        <v>1</v>
      </c>
      <c r="O521" t="s">
        <v>21</v>
      </c>
    </row>
    <row r="522" spans="1:15">
      <c r="A522" t="s">
        <v>542</v>
      </c>
      <c r="B522" t="s">
        <v>23</v>
      </c>
      <c r="C522">
        <f>IF(B522="east",1,0)</f>
        <v>1</v>
      </c>
      <c r="D522" t="s">
        <v>17</v>
      </c>
      <c r="E522">
        <f>IF(D522="Guard",1,0)</f>
        <v>1</v>
      </c>
      <c r="F522">
        <f>IF(D522="Forward",1,0)</f>
        <v>0</v>
      </c>
      <c r="G522">
        <v>23</v>
      </c>
      <c r="H522">
        <v>1</v>
      </c>
      <c r="I522">
        <v>7</v>
      </c>
      <c r="J522">
        <v>4</v>
      </c>
      <c r="K522">
        <v>2</v>
      </c>
      <c r="L522">
        <v>2</v>
      </c>
      <c r="M522" s="1">
        <v>85300</v>
      </c>
      <c r="N522" s="2">
        <f>IF(O522="US",1,0)</f>
        <v>1</v>
      </c>
      <c r="O522" t="s">
        <v>21</v>
      </c>
    </row>
    <row r="523" spans="1:15">
      <c r="A523" t="s">
        <v>543</v>
      </c>
      <c r="B523" t="s">
        <v>23</v>
      </c>
      <c r="C523">
        <f>IF(B523="east",1,0)</f>
        <v>1</v>
      </c>
      <c r="D523" t="s">
        <v>17</v>
      </c>
      <c r="E523">
        <f>IF(D523="Guard",1,0)</f>
        <v>1</v>
      </c>
      <c r="F523">
        <f>IF(D523="Forward",1,0)</f>
        <v>0</v>
      </c>
      <c r="G523">
        <v>26</v>
      </c>
      <c r="H523">
        <v>6</v>
      </c>
      <c r="I523">
        <v>10.3</v>
      </c>
      <c r="J523">
        <v>0.8</v>
      </c>
      <c r="K523">
        <v>1.8</v>
      </c>
      <c r="L523">
        <v>2</v>
      </c>
      <c r="M523" s="1">
        <v>28293</v>
      </c>
      <c r="N523" s="2">
        <f>IF(O523="US",1,0)</f>
        <v>0</v>
      </c>
      <c r="O523" t="s">
        <v>18</v>
      </c>
    </row>
    <row r="524" spans="1:15">
      <c r="A524" t="s">
        <v>544</v>
      </c>
      <c r="B524" t="s">
        <v>16</v>
      </c>
      <c r="C524">
        <f>IF(B524="east",1,0)</f>
        <v>0</v>
      </c>
      <c r="D524" t="s">
        <v>24</v>
      </c>
      <c r="E524">
        <f>IF(D524="Guard",1,0)</f>
        <v>0</v>
      </c>
      <c r="F524">
        <f>IF(D524="Forward",1,0)</f>
        <v>1</v>
      </c>
      <c r="G524">
        <v>21</v>
      </c>
      <c r="H524">
        <v>25</v>
      </c>
      <c r="I524">
        <v>6</v>
      </c>
      <c r="J524">
        <v>1.1000000000000001</v>
      </c>
      <c r="K524">
        <v>0.4</v>
      </c>
      <c r="L524">
        <v>1.9</v>
      </c>
      <c r="M524" s="1">
        <v>1272870</v>
      </c>
      <c r="N524" s="2">
        <f>IF(O524="US",1,0)</f>
        <v>1</v>
      </c>
      <c r="O524" t="s">
        <v>21</v>
      </c>
    </row>
    <row r="525" spans="1:15">
      <c r="A525" t="s">
        <v>545</v>
      </c>
      <c r="B525" t="s">
        <v>16</v>
      </c>
      <c r="C525">
        <f>IF(B525="east",1,0)</f>
        <v>0</v>
      </c>
      <c r="D525" t="s">
        <v>17</v>
      </c>
      <c r="E525">
        <f>IF(D525="Guard",1,0)</f>
        <v>1</v>
      </c>
      <c r="F525">
        <f>IF(D525="Forward",1,0)</f>
        <v>0</v>
      </c>
      <c r="G525">
        <v>23</v>
      </c>
      <c r="H525">
        <v>7</v>
      </c>
      <c r="I525">
        <v>4.4000000000000004</v>
      </c>
      <c r="J525">
        <v>0.4</v>
      </c>
      <c r="K525">
        <v>0.7</v>
      </c>
      <c r="L525">
        <v>1.9</v>
      </c>
      <c r="M525" s="1">
        <v>193857</v>
      </c>
      <c r="N525" s="2">
        <f>IF(O525="US",1,0)</f>
        <v>1</v>
      </c>
      <c r="O525" t="s">
        <v>21</v>
      </c>
    </row>
    <row r="526" spans="1:15">
      <c r="A526" t="s">
        <v>546</v>
      </c>
      <c r="B526" t="s">
        <v>23</v>
      </c>
      <c r="C526">
        <f>IF(B526="east",1,0)</f>
        <v>1</v>
      </c>
      <c r="D526" t="s">
        <v>24</v>
      </c>
      <c r="E526">
        <f>IF(D526="Guard",1,0)</f>
        <v>0</v>
      </c>
      <c r="F526">
        <f>IF(D526="Forward",1,0)</f>
        <v>1</v>
      </c>
      <c r="G526">
        <v>22</v>
      </c>
      <c r="H526">
        <v>12</v>
      </c>
      <c r="I526">
        <v>5.9</v>
      </c>
      <c r="J526">
        <v>1.6</v>
      </c>
      <c r="K526">
        <v>0.5</v>
      </c>
      <c r="L526">
        <v>1.8</v>
      </c>
      <c r="M526" s="1">
        <v>1955377</v>
      </c>
      <c r="N526" s="2">
        <f>IF(O526="US",1,0)</f>
        <v>0</v>
      </c>
      <c r="O526" t="s">
        <v>18</v>
      </c>
    </row>
    <row r="527" spans="1:15">
      <c r="A527" t="s">
        <v>547</v>
      </c>
      <c r="B527" t="s">
        <v>23</v>
      </c>
      <c r="C527">
        <f>IF(B527="east",1,0)</f>
        <v>1</v>
      </c>
      <c r="D527" t="s">
        <v>29</v>
      </c>
      <c r="E527">
        <f>IF(D527="Guard",1,0)</f>
        <v>0</v>
      </c>
      <c r="F527">
        <f>IF(D527="Forward",1,0)</f>
        <v>0</v>
      </c>
      <c r="G527">
        <v>25</v>
      </c>
      <c r="H527">
        <v>4</v>
      </c>
      <c r="I527">
        <v>6.3</v>
      </c>
      <c r="J527">
        <v>1</v>
      </c>
      <c r="K527">
        <v>0.8</v>
      </c>
      <c r="L527">
        <v>1.8</v>
      </c>
      <c r="M527" s="1">
        <v>636435</v>
      </c>
      <c r="N527" s="2">
        <f>IF(O527="US",1,0)</f>
        <v>1</v>
      </c>
      <c r="O527" t="s">
        <v>21</v>
      </c>
    </row>
    <row r="528" spans="1:15">
      <c r="A528" t="s">
        <v>548</v>
      </c>
      <c r="B528" t="s">
        <v>23</v>
      </c>
      <c r="C528">
        <f>IF(B528="east",1,0)</f>
        <v>1</v>
      </c>
      <c r="D528" t="s">
        <v>24</v>
      </c>
      <c r="E528">
        <f>IF(D528="Guard",1,0)</f>
        <v>0</v>
      </c>
      <c r="F528">
        <f>IF(D528="Forward",1,0)</f>
        <v>1</v>
      </c>
      <c r="G528">
        <v>30</v>
      </c>
      <c r="H528">
        <v>4</v>
      </c>
      <c r="I528">
        <v>13.8</v>
      </c>
      <c r="J528">
        <v>3.5</v>
      </c>
      <c r="K528">
        <v>0.5</v>
      </c>
      <c r="L528">
        <v>1.8</v>
      </c>
      <c r="M528" s="1">
        <v>165197</v>
      </c>
      <c r="N528" s="2">
        <f>IF(O528="US",1,0)</f>
        <v>1</v>
      </c>
      <c r="O528" t="s">
        <v>21</v>
      </c>
    </row>
    <row r="529" spans="1:15">
      <c r="A529" t="s">
        <v>549</v>
      </c>
      <c r="B529" t="s">
        <v>16</v>
      </c>
      <c r="C529">
        <f>IF(B529="east",1,0)</f>
        <v>0</v>
      </c>
      <c r="D529" t="s">
        <v>24</v>
      </c>
      <c r="E529">
        <f>IF(D529="Guard",1,0)</f>
        <v>0</v>
      </c>
      <c r="F529">
        <f>IF(D529="Forward",1,0)</f>
        <v>1</v>
      </c>
      <c r="G529">
        <v>27</v>
      </c>
      <c r="H529">
        <v>36</v>
      </c>
      <c r="I529">
        <v>9.6</v>
      </c>
      <c r="J529">
        <v>1.7</v>
      </c>
      <c r="K529">
        <v>0.6</v>
      </c>
      <c r="L529">
        <v>1.8</v>
      </c>
      <c r="M529" s="1">
        <v>85300</v>
      </c>
      <c r="N529" s="2">
        <f>IF(O529="US",1,0)</f>
        <v>1</v>
      </c>
      <c r="O529" t="s">
        <v>21</v>
      </c>
    </row>
    <row r="530" spans="1:15">
      <c r="A530" t="s">
        <v>550</v>
      </c>
      <c r="B530" t="s">
        <v>23</v>
      </c>
      <c r="C530">
        <f>IF(B530="east",1,0)</f>
        <v>1</v>
      </c>
      <c r="D530" t="s">
        <v>17</v>
      </c>
      <c r="E530">
        <f>IF(D530="Guard",1,0)</f>
        <v>1</v>
      </c>
      <c r="F530">
        <f>IF(D530="Forward",1,0)</f>
        <v>0</v>
      </c>
      <c r="G530">
        <v>25</v>
      </c>
      <c r="H530">
        <v>14</v>
      </c>
      <c r="I530">
        <v>4.0999999999999996</v>
      </c>
      <c r="J530">
        <v>0.3</v>
      </c>
      <c r="K530">
        <v>0.6</v>
      </c>
      <c r="L530">
        <v>1.8</v>
      </c>
      <c r="M530" s="1">
        <v>23546</v>
      </c>
      <c r="N530" s="2">
        <f>IF(O530="US",1,0)</f>
        <v>1</v>
      </c>
      <c r="O530" t="s">
        <v>21</v>
      </c>
    </row>
    <row r="531" spans="1:15">
      <c r="A531" t="s">
        <v>551</v>
      </c>
      <c r="B531" t="s">
        <v>23</v>
      </c>
      <c r="C531">
        <f>IF(B531="east",1,0)</f>
        <v>1</v>
      </c>
      <c r="D531" t="s">
        <v>17</v>
      </c>
      <c r="E531">
        <f>IF(D531="Guard",1,0)</f>
        <v>1</v>
      </c>
      <c r="F531">
        <f>IF(D531="Forward",1,0)</f>
        <v>0</v>
      </c>
      <c r="G531">
        <v>20</v>
      </c>
      <c r="H531">
        <v>29</v>
      </c>
      <c r="I531">
        <v>4.7</v>
      </c>
      <c r="J531">
        <v>0.9</v>
      </c>
      <c r="K531">
        <v>0.4</v>
      </c>
      <c r="L531">
        <v>1.7</v>
      </c>
      <c r="M531" s="1">
        <v>2847600</v>
      </c>
      <c r="N531" s="2">
        <f>IF(O531="US",1,0)</f>
        <v>0</v>
      </c>
      <c r="O531" t="s">
        <v>18</v>
      </c>
    </row>
    <row r="532" spans="1:15">
      <c r="A532" t="s">
        <v>552</v>
      </c>
      <c r="B532" t="s">
        <v>16</v>
      </c>
      <c r="C532">
        <f>IF(B532="east",1,0)</f>
        <v>0</v>
      </c>
      <c r="D532" t="s">
        <v>17</v>
      </c>
      <c r="E532">
        <f>IF(D532="Guard",1,0)</f>
        <v>1</v>
      </c>
      <c r="F532">
        <f>IF(D532="Forward",1,0)</f>
        <v>0</v>
      </c>
      <c r="G532">
        <v>23</v>
      </c>
      <c r="H532">
        <v>40</v>
      </c>
      <c r="I532">
        <v>8.6999999999999993</v>
      </c>
      <c r="J532">
        <v>2</v>
      </c>
      <c r="K532">
        <v>0.6</v>
      </c>
      <c r="L532">
        <v>1.7</v>
      </c>
      <c r="M532" s="1">
        <v>85300</v>
      </c>
      <c r="N532" s="2">
        <f>IF(O532="US",1,0)</f>
        <v>1</v>
      </c>
      <c r="O532" t="s">
        <v>21</v>
      </c>
    </row>
    <row r="533" spans="1:15">
      <c r="A533" t="s">
        <v>553</v>
      </c>
      <c r="B533" t="s">
        <v>23</v>
      </c>
      <c r="C533">
        <f>IF(B533="east",1,0)</f>
        <v>1</v>
      </c>
      <c r="D533" t="s">
        <v>17</v>
      </c>
      <c r="E533">
        <f>IF(D533="Guard",1,0)</f>
        <v>1</v>
      </c>
      <c r="F533">
        <f>IF(D533="Forward",1,0)</f>
        <v>0</v>
      </c>
      <c r="G533">
        <v>24</v>
      </c>
      <c r="H533">
        <v>6</v>
      </c>
      <c r="I533">
        <v>10</v>
      </c>
      <c r="J533">
        <v>1</v>
      </c>
      <c r="K533">
        <v>0.7</v>
      </c>
      <c r="L533">
        <v>1.7</v>
      </c>
      <c r="M533" s="1">
        <v>85300</v>
      </c>
      <c r="N533" s="2">
        <f>IF(O533="US",1,0)</f>
        <v>1</v>
      </c>
      <c r="O533" t="s">
        <v>21</v>
      </c>
    </row>
    <row r="534" spans="1:15">
      <c r="A534" t="s">
        <v>554</v>
      </c>
      <c r="B534" t="s">
        <v>16</v>
      </c>
      <c r="C534">
        <f>IF(B534="east",1,0)</f>
        <v>0</v>
      </c>
      <c r="D534" t="s">
        <v>29</v>
      </c>
      <c r="E534">
        <f>IF(D534="Guard",1,0)</f>
        <v>0</v>
      </c>
      <c r="F534">
        <f>IF(D534="Forward",1,0)</f>
        <v>0</v>
      </c>
      <c r="G534">
        <v>35</v>
      </c>
      <c r="H534">
        <v>20</v>
      </c>
      <c r="I534">
        <v>8.6</v>
      </c>
      <c r="J534">
        <v>2.7</v>
      </c>
      <c r="K534">
        <v>1</v>
      </c>
      <c r="L534">
        <v>1.6</v>
      </c>
      <c r="M534" s="1">
        <v>939867</v>
      </c>
      <c r="N534" s="2">
        <f>IF(O534="US",1,0)</f>
        <v>1</v>
      </c>
      <c r="O534" t="s">
        <v>21</v>
      </c>
    </row>
    <row r="535" spans="1:15">
      <c r="A535" t="s">
        <v>555</v>
      </c>
      <c r="B535" t="s">
        <v>16</v>
      </c>
      <c r="C535">
        <f>IF(B535="east",1,0)</f>
        <v>0</v>
      </c>
      <c r="D535" t="s">
        <v>24</v>
      </c>
      <c r="E535">
        <f>IF(D535="Guard",1,0)</f>
        <v>0</v>
      </c>
      <c r="F535">
        <f>IF(D535="Forward",1,0)</f>
        <v>1</v>
      </c>
      <c r="G535">
        <v>23</v>
      </c>
      <c r="H535">
        <v>7</v>
      </c>
      <c r="I535">
        <v>3.7</v>
      </c>
      <c r="J535">
        <v>0.4</v>
      </c>
      <c r="K535">
        <v>0.1</v>
      </c>
      <c r="L535">
        <v>1.6</v>
      </c>
      <c r="M535" s="1">
        <v>85300</v>
      </c>
      <c r="N535" s="2">
        <f>IF(O535="US",1,0)</f>
        <v>1</v>
      </c>
      <c r="O535" t="s">
        <v>21</v>
      </c>
    </row>
    <row r="536" spans="1:15">
      <c r="A536" t="s">
        <v>556</v>
      </c>
      <c r="B536" t="s">
        <v>23</v>
      </c>
      <c r="C536">
        <f>IF(B536="east",1,0)</f>
        <v>1</v>
      </c>
      <c r="D536" t="s">
        <v>24</v>
      </c>
      <c r="E536">
        <f>IF(D536="Guard",1,0)</f>
        <v>0</v>
      </c>
      <c r="F536">
        <f>IF(D536="Forward",1,0)</f>
        <v>1</v>
      </c>
      <c r="G536">
        <v>25</v>
      </c>
      <c r="H536">
        <v>5</v>
      </c>
      <c r="I536">
        <v>3.4</v>
      </c>
      <c r="J536">
        <v>0.2</v>
      </c>
      <c r="K536">
        <v>0.2</v>
      </c>
      <c r="L536">
        <v>1.6</v>
      </c>
      <c r="M536" s="1">
        <v>85300</v>
      </c>
      <c r="N536" s="2">
        <f>IF(O536="US",1,0)</f>
        <v>1</v>
      </c>
      <c r="O536" t="s">
        <v>21</v>
      </c>
    </row>
    <row r="537" spans="1:15">
      <c r="A537" t="s">
        <v>557</v>
      </c>
      <c r="B537" t="s">
        <v>16</v>
      </c>
      <c r="C537">
        <f>IF(B537="east",1,0)</f>
        <v>0</v>
      </c>
      <c r="D537" t="s">
        <v>24</v>
      </c>
      <c r="E537">
        <f>IF(D537="Guard",1,0)</f>
        <v>0</v>
      </c>
      <c r="F537">
        <f>IF(D537="Forward",1,0)</f>
        <v>1</v>
      </c>
      <c r="G537">
        <v>38</v>
      </c>
      <c r="H537">
        <v>27</v>
      </c>
      <c r="I537">
        <v>5.7</v>
      </c>
      <c r="J537">
        <v>0.7</v>
      </c>
      <c r="K537">
        <v>1.3</v>
      </c>
      <c r="L537">
        <v>1.5</v>
      </c>
      <c r="M537" s="1">
        <v>3634153</v>
      </c>
      <c r="N537" s="2">
        <f>IF(O537="US",1,0)</f>
        <v>0</v>
      </c>
      <c r="O537" t="s">
        <v>18</v>
      </c>
    </row>
    <row r="538" spans="1:15">
      <c r="A538" t="s">
        <v>558</v>
      </c>
      <c r="B538" t="s">
        <v>23</v>
      </c>
      <c r="C538">
        <f>IF(B538="east",1,0)</f>
        <v>1</v>
      </c>
      <c r="D538" t="s">
        <v>29</v>
      </c>
      <c r="E538">
        <f>IF(D538="Guard",1,0)</f>
        <v>0</v>
      </c>
      <c r="F538">
        <f>IF(D538="Forward",1,0)</f>
        <v>0</v>
      </c>
      <c r="G538">
        <v>27</v>
      </c>
      <c r="H538">
        <v>30</v>
      </c>
      <c r="I538">
        <v>6.1</v>
      </c>
      <c r="J538">
        <v>1.4</v>
      </c>
      <c r="K538">
        <v>0.4</v>
      </c>
      <c r="L538">
        <v>1.5</v>
      </c>
      <c r="M538" s="1">
        <v>2546675</v>
      </c>
      <c r="N538" s="2">
        <f>IF(O538="US",1,0)</f>
        <v>1</v>
      </c>
      <c r="O538" t="s">
        <v>21</v>
      </c>
    </row>
    <row r="539" spans="1:15">
      <c r="A539" t="s">
        <v>559</v>
      </c>
      <c r="B539" t="s">
        <v>23</v>
      </c>
      <c r="C539">
        <f>IF(B539="east",1,0)</f>
        <v>1</v>
      </c>
      <c r="D539" t="s">
        <v>24</v>
      </c>
      <c r="E539">
        <f>IF(D539="Guard",1,0)</f>
        <v>0</v>
      </c>
      <c r="F539">
        <f>IF(D539="Forward",1,0)</f>
        <v>1</v>
      </c>
      <c r="G539">
        <v>24</v>
      </c>
      <c r="H539">
        <v>40</v>
      </c>
      <c r="I539">
        <v>6.2</v>
      </c>
      <c r="J539">
        <v>1.7</v>
      </c>
      <c r="K539">
        <v>0.6</v>
      </c>
      <c r="L539">
        <v>1.5</v>
      </c>
      <c r="M539" s="1">
        <v>1955377</v>
      </c>
      <c r="N539" s="2">
        <f>IF(O539="US",1,0)</f>
        <v>1</v>
      </c>
      <c r="O539" t="s">
        <v>21</v>
      </c>
    </row>
    <row r="540" spans="1:15">
      <c r="A540" t="s">
        <v>560</v>
      </c>
      <c r="B540" t="s">
        <v>16</v>
      </c>
      <c r="C540">
        <f>IF(B540="east",1,0)</f>
        <v>0</v>
      </c>
      <c r="D540" t="s">
        <v>24</v>
      </c>
      <c r="E540">
        <f>IF(D540="Guard",1,0)</f>
        <v>0</v>
      </c>
      <c r="F540">
        <f>IF(D540="Forward",1,0)</f>
        <v>1</v>
      </c>
      <c r="G540">
        <v>26</v>
      </c>
      <c r="H540">
        <v>4</v>
      </c>
      <c r="I540">
        <v>3.8</v>
      </c>
      <c r="J540">
        <v>0</v>
      </c>
      <c r="K540">
        <v>0</v>
      </c>
      <c r="L540">
        <v>1.5</v>
      </c>
      <c r="M540" s="1">
        <v>241406</v>
      </c>
      <c r="N540" s="2">
        <f>IF(O540="US",1,0)</f>
        <v>1</v>
      </c>
      <c r="O540" t="s">
        <v>21</v>
      </c>
    </row>
    <row r="541" spans="1:15">
      <c r="A541" t="s">
        <v>561</v>
      </c>
      <c r="B541" t="s">
        <v>23</v>
      </c>
      <c r="C541">
        <f>IF(B541="east",1,0)</f>
        <v>1</v>
      </c>
      <c r="D541" t="s">
        <v>24</v>
      </c>
      <c r="E541">
        <f>IF(D541="Guard",1,0)</f>
        <v>0</v>
      </c>
      <c r="F541">
        <f>IF(D541="Forward",1,0)</f>
        <v>1</v>
      </c>
      <c r="G541">
        <v>33</v>
      </c>
      <c r="H541">
        <v>34</v>
      </c>
      <c r="I541">
        <v>4.4000000000000004</v>
      </c>
      <c r="J541">
        <v>0.9</v>
      </c>
      <c r="K541">
        <v>0.4</v>
      </c>
      <c r="L541">
        <v>1.4</v>
      </c>
      <c r="M541" s="1">
        <v>2874436</v>
      </c>
      <c r="N541" s="2">
        <f>IF(O541="US",1,0)</f>
        <v>0</v>
      </c>
      <c r="O541" t="s">
        <v>18</v>
      </c>
    </row>
    <row r="542" spans="1:15">
      <c r="A542" t="s">
        <v>562</v>
      </c>
      <c r="B542" t="s">
        <v>23</v>
      </c>
      <c r="C542">
        <f>IF(B542="east",1,0)</f>
        <v>1</v>
      </c>
      <c r="D542" t="s">
        <v>24</v>
      </c>
      <c r="E542">
        <f>IF(D542="Guard",1,0)</f>
        <v>0</v>
      </c>
      <c r="F542">
        <f>IF(D542="Forward",1,0)</f>
        <v>1</v>
      </c>
      <c r="G542">
        <v>24</v>
      </c>
      <c r="H542">
        <v>22</v>
      </c>
      <c r="I542">
        <v>6.6</v>
      </c>
      <c r="J542">
        <v>1.8</v>
      </c>
      <c r="K542">
        <v>0.5</v>
      </c>
      <c r="L542">
        <v>1.4</v>
      </c>
      <c r="M542" s="1">
        <v>490128</v>
      </c>
      <c r="N542" s="2">
        <f>IF(O542="US",1,0)</f>
        <v>0</v>
      </c>
      <c r="O542" t="s">
        <v>18</v>
      </c>
    </row>
    <row r="543" spans="1:15">
      <c r="A543" t="s">
        <v>563</v>
      </c>
      <c r="B543" t="s">
        <v>23</v>
      </c>
      <c r="C543">
        <f>IF(B543="east",1,0)</f>
        <v>1</v>
      </c>
      <c r="D543" t="s">
        <v>24</v>
      </c>
      <c r="E543">
        <f>IF(D543="Guard",1,0)</f>
        <v>0</v>
      </c>
      <c r="F543">
        <f>IF(D543="Forward",1,0)</f>
        <v>1</v>
      </c>
      <c r="G543">
        <v>24</v>
      </c>
      <c r="H543">
        <v>7</v>
      </c>
      <c r="I543">
        <v>5.6</v>
      </c>
      <c r="J543">
        <v>1</v>
      </c>
      <c r="K543">
        <v>0.6</v>
      </c>
      <c r="L543">
        <v>1.3</v>
      </c>
      <c r="M543" s="1">
        <v>3056867</v>
      </c>
      <c r="N543" s="2">
        <f>IF(O543="US",1,0)</f>
        <v>1</v>
      </c>
      <c r="O543" t="s">
        <v>21</v>
      </c>
    </row>
    <row r="544" spans="1:15">
      <c r="A544" t="s">
        <v>564</v>
      </c>
      <c r="B544" t="s">
        <v>16</v>
      </c>
      <c r="C544">
        <f>IF(B544="east",1,0)</f>
        <v>0</v>
      </c>
      <c r="D544" t="s">
        <v>24</v>
      </c>
      <c r="E544">
        <f>IF(D544="Guard",1,0)</f>
        <v>0</v>
      </c>
      <c r="F544">
        <f>IF(D544="Forward",1,0)</f>
        <v>1</v>
      </c>
      <c r="G544">
        <v>31</v>
      </c>
      <c r="H544">
        <v>27</v>
      </c>
      <c r="I544">
        <v>7.2</v>
      </c>
      <c r="J544">
        <v>1.2</v>
      </c>
      <c r="K544">
        <v>0.3</v>
      </c>
      <c r="L544">
        <v>1.3</v>
      </c>
      <c r="M544" s="1">
        <v>2048494</v>
      </c>
      <c r="N544" s="2">
        <f>IF(O544="US",1,0)</f>
        <v>1</v>
      </c>
      <c r="O544" t="s">
        <v>21</v>
      </c>
    </row>
    <row r="545" spans="1:15">
      <c r="A545" t="s">
        <v>565</v>
      </c>
      <c r="B545" t="s">
        <v>16</v>
      </c>
      <c r="C545">
        <f>IF(B545="east",1,0)</f>
        <v>0</v>
      </c>
      <c r="D545" t="s">
        <v>17</v>
      </c>
      <c r="E545">
        <f>IF(D545="Guard",1,0)</f>
        <v>1</v>
      </c>
      <c r="F545">
        <f>IF(D545="Forward",1,0)</f>
        <v>0</v>
      </c>
      <c r="G545">
        <v>24</v>
      </c>
      <c r="H545">
        <v>16</v>
      </c>
      <c r="I545">
        <v>5.5</v>
      </c>
      <c r="J545">
        <v>0.4</v>
      </c>
      <c r="K545">
        <v>1.1000000000000001</v>
      </c>
      <c r="L545">
        <v>1.3</v>
      </c>
      <c r="M545" s="1">
        <v>636435</v>
      </c>
      <c r="N545" s="2">
        <f>IF(O545="US",1,0)</f>
        <v>1</v>
      </c>
      <c r="O545" t="s">
        <v>21</v>
      </c>
    </row>
    <row r="546" spans="1:15">
      <c r="A546" t="s">
        <v>566</v>
      </c>
      <c r="B546" t="s">
        <v>23</v>
      </c>
      <c r="C546">
        <f>IF(B546="east",1,0)</f>
        <v>1</v>
      </c>
      <c r="D546" t="s">
        <v>29</v>
      </c>
      <c r="E546">
        <f>IF(D546="Guard",1,0)</f>
        <v>0</v>
      </c>
      <c r="F546">
        <f>IF(D546="Forward",1,0)</f>
        <v>0</v>
      </c>
      <c r="G546">
        <v>25</v>
      </c>
      <c r="H546">
        <v>4</v>
      </c>
      <c r="I546">
        <v>5.3</v>
      </c>
      <c r="J546">
        <v>2</v>
      </c>
      <c r="K546">
        <v>0.3</v>
      </c>
      <c r="L546">
        <v>1.3</v>
      </c>
      <c r="M546" s="1">
        <v>85300</v>
      </c>
      <c r="N546" s="2">
        <f>IF(O546="US",1,0)</f>
        <v>1</v>
      </c>
      <c r="O546" t="s">
        <v>21</v>
      </c>
    </row>
    <row r="547" spans="1:15">
      <c r="A547" t="s">
        <v>567</v>
      </c>
      <c r="B547" t="s">
        <v>23</v>
      </c>
      <c r="C547">
        <f>IF(B547="east",1,0)</f>
        <v>1</v>
      </c>
      <c r="D547" t="s">
        <v>17</v>
      </c>
      <c r="E547">
        <f>IF(D547="Guard",1,0)</f>
        <v>1</v>
      </c>
      <c r="F547">
        <f>IF(D547="Forward",1,0)</f>
        <v>0</v>
      </c>
      <c r="G547">
        <v>39</v>
      </c>
      <c r="H547">
        <v>14</v>
      </c>
      <c r="I547">
        <v>8.4</v>
      </c>
      <c r="J547">
        <v>0.6</v>
      </c>
      <c r="K547">
        <v>0.8</v>
      </c>
      <c r="L547">
        <v>1.2</v>
      </c>
      <c r="M547" s="1">
        <v>3634153</v>
      </c>
      <c r="N547" s="2">
        <f>IF(O547="US",1,0)</f>
        <v>1</v>
      </c>
      <c r="O547" t="s">
        <v>21</v>
      </c>
    </row>
    <row r="548" spans="1:15">
      <c r="A548" t="s">
        <v>568</v>
      </c>
      <c r="B548" t="s">
        <v>16</v>
      </c>
      <c r="C548">
        <f>IF(B548="east",1,0)</f>
        <v>0</v>
      </c>
      <c r="D548" t="s">
        <v>17</v>
      </c>
      <c r="E548">
        <f>IF(D548="Guard",1,0)</f>
        <v>1</v>
      </c>
      <c r="F548">
        <f>IF(D548="Forward",1,0)</f>
        <v>0</v>
      </c>
      <c r="G548">
        <v>26</v>
      </c>
      <c r="H548">
        <v>19</v>
      </c>
      <c r="I548">
        <v>4.9000000000000004</v>
      </c>
      <c r="J548">
        <v>1</v>
      </c>
      <c r="K548">
        <v>0.4</v>
      </c>
      <c r="L548">
        <v>1.2</v>
      </c>
      <c r="M548" s="1">
        <v>636435</v>
      </c>
      <c r="N548" s="2">
        <f>IF(O548="US",1,0)</f>
        <v>1</v>
      </c>
      <c r="O548" t="s">
        <v>21</v>
      </c>
    </row>
    <row r="549" spans="1:15">
      <c r="A549" t="s">
        <v>569</v>
      </c>
      <c r="B549" t="s">
        <v>16</v>
      </c>
      <c r="C549">
        <f>IF(B549="east",1,0)</f>
        <v>0</v>
      </c>
      <c r="D549" t="s">
        <v>29</v>
      </c>
      <c r="E549">
        <f>IF(D549="Guard",1,0)</f>
        <v>0</v>
      </c>
      <c r="F549">
        <f>IF(D549="Forward",1,0)</f>
        <v>0</v>
      </c>
      <c r="G549">
        <v>31</v>
      </c>
      <c r="H549">
        <v>5</v>
      </c>
      <c r="I549">
        <v>8.1999999999999993</v>
      </c>
      <c r="J549">
        <v>1.2</v>
      </c>
      <c r="K549">
        <v>0.4</v>
      </c>
      <c r="L549">
        <v>1</v>
      </c>
      <c r="M549" s="1">
        <v>5426400</v>
      </c>
      <c r="N549" s="2">
        <f>IF(O549="US",1,0)</f>
        <v>0</v>
      </c>
      <c r="O549" t="s">
        <v>18</v>
      </c>
    </row>
    <row r="550" spans="1:15">
      <c r="A550" t="s">
        <v>570</v>
      </c>
      <c r="B550" t="s">
        <v>16</v>
      </c>
      <c r="C550">
        <f>IF(B550="east",1,0)</f>
        <v>0</v>
      </c>
      <c r="D550" t="s">
        <v>17</v>
      </c>
      <c r="E550">
        <f>IF(D550="Guard",1,0)</f>
        <v>1</v>
      </c>
      <c r="F550">
        <f>IF(D550="Forward",1,0)</f>
        <v>0</v>
      </c>
      <c r="G550">
        <v>26</v>
      </c>
      <c r="H550">
        <v>2</v>
      </c>
      <c r="I550">
        <v>3.5</v>
      </c>
      <c r="J550">
        <v>0</v>
      </c>
      <c r="K550">
        <v>0.5</v>
      </c>
      <c r="L550">
        <v>1</v>
      </c>
      <c r="M550" s="1">
        <v>234091</v>
      </c>
      <c r="N550" s="2">
        <f>IF(O550="US",1,0)</f>
        <v>1</v>
      </c>
      <c r="O550" t="s">
        <v>21</v>
      </c>
    </row>
    <row r="551" spans="1:15">
      <c r="A551" t="s">
        <v>571</v>
      </c>
      <c r="B551" t="s">
        <v>23</v>
      </c>
      <c r="C551">
        <f>IF(B551="east",1,0)</f>
        <v>1</v>
      </c>
      <c r="D551" t="s">
        <v>17</v>
      </c>
      <c r="E551">
        <f>IF(D551="Guard",1,0)</f>
        <v>1</v>
      </c>
      <c r="F551">
        <f>IF(D551="Forward",1,0)</f>
        <v>0</v>
      </c>
      <c r="G551">
        <v>22</v>
      </c>
      <c r="H551">
        <v>8</v>
      </c>
      <c r="I551">
        <v>1.9</v>
      </c>
      <c r="J551">
        <v>0.3</v>
      </c>
      <c r="K551">
        <v>0</v>
      </c>
      <c r="L551">
        <v>1</v>
      </c>
      <c r="M551" s="1">
        <v>197514</v>
      </c>
      <c r="N551" s="2">
        <f>IF(O551="US",1,0)</f>
        <v>1</v>
      </c>
      <c r="O551" t="s">
        <v>21</v>
      </c>
    </row>
    <row r="552" spans="1:15">
      <c r="A552" t="s">
        <v>572</v>
      </c>
      <c r="B552" t="s">
        <v>23</v>
      </c>
      <c r="C552">
        <f>IF(B552="east",1,0)</f>
        <v>1</v>
      </c>
      <c r="D552" t="s">
        <v>29</v>
      </c>
      <c r="E552">
        <f>IF(D552="Guard",1,0)</f>
        <v>0</v>
      </c>
      <c r="F552">
        <f>IF(D552="Forward",1,0)</f>
        <v>0</v>
      </c>
      <c r="G552">
        <v>26</v>
      </c>
      <c r="H552">
        <v>13</v>
      </c>
      <c r="I552">
        <v>6.3</v>
      </c>
      <c r="J552">
        <v>1.4</v>
      </c>
      <c r="K552">
        <v>0.4</v>
      </c>
      <c r="L552">
        <v>1</v>
      </c>
      <c r="M552" s="1">
        <v>85300</v>
      </c>
      <c r="N552" s="2">
        <f>IF(O552="US",1,0)</f>
        <v>1</v>
      </c>
      <c r="O552" t="s">
        <v>21</v>
      </c>
    </row>
    <row r="553" spans="1:15">
      <c r="A553" t="s">
        <v>573</v>
      </c>
      <c r="B553" t="s">
        <v>23</v>
      </c>
      <c r="C553">
        <f>IF(B553="east",1,0)</f>
        <v>1</v>
      </c>
      <c r="D553" t="s">
        <v>17</v>
      </c>
      <c r="E553">
        <f>IF(D553="Guard",1,0)</f>
        <v>1</v>
      </c>
      <c r="F553">
        <f>IF(D553="Forward",1,0)</f>
        <v>0</v>
      </c>
      <c r="G553">
        <v>22</v>
      </c>
      <c r="H553">
        <v>7</v>
      </c>
      <c r="I553">
        <v>3.7</v>
      </c>
      <c r="J553">
        <v>0.1</v>
      </c>
      <c r="K553">
        <v>0.6</v>
      </c>
      <c r="L553">
        <v>1</v>
      </c>
      <c r="M553" s="1">
        <v>85300</v>
      </c>
      <c r="N553" s="2">
        <f>IF(O553="US",1,0)</f>
        <v>1</v>
      </c>
      <c r="O553" t="s">
        <v>21</v>
      </c>
    </row>
    <row r="554" spans="1:15">
      <c r="A554" t="s">
        <v>574</v>
      </c>
      <c r="B554" t="s">
        <v>16</v>
      </c>
      <c r="C554">
        <f>IF(B554="east",1,0)</f>
        <v>0</v>
      </c>
      <c r="D554" t="s">
        <v>29</v>
      </c>
      <c r="E554">
        <f>IF(D554="Guard",1,0)</f>
        <v>0</v>
      </c>
      <c r="F554">
        <f>IF(D554="Forward",1,0)</f>
        <v>0</v>
      </c>
      <c r="G554">
        <v>33</v>
      </c>
      <c r="H554">
        <v>25</v>
      </c>
      <c r="I554">
        <v>5.6</v>
      </c>
      <c r="J554">
        <v>1</v>
      </c>
      <c r="K554">
        <v>0.2</v>
      </c>
      <c r="L554">
        <v>0.9</v>
      </c>
      <c r="M554" s="1">
        <v>3634153</v>
      </c>
      <c r="N554" s="2">
        <f>IF(O554="US",1,0)</f>
        <v>0</v>
      </c>
      <c r="O554" t="s">
        <v>18</v>
      </c>
    </row>
    <row r="555" spans="1:15">
      <c r="A555" t="s">
        <v>575</v>
      </c>
      <c r="B555" t="s">
        <v>23</v>
      </c>
      <c r="C555">
        <f>IF(B555="east",1,0)</f>
        <v>1</v>
      </c>
      <c r="D555" t="s">
        <v>29</v>
      </c>
      <c r="E555">
        <f>IF(D555="Guard",1,0)</f>
        <v>0</v>
      </c>
      <c r="F555">
        <f>IF(D555="Forward",1,0)</f>
        <v>0</v>
      </c>
      <c r="G555">
        <v>23</v>
      </c>
      <c r="H555">
        <v>11</v>
      </c>
      <c r="I555">
        <v>5</v>
      </c>
      <c r="J555">
        <v>1.5</v>
      </c>
      <c r="K555">
        <v>0.4</v>
      </c>
      <c r="L555">
        <v>0.9</v>
      </c>
      <c r="M555" s="1">
        <v>1272870</v>
      </c>
      <c r="N555" s="2">
        <f>IF(O555="US",1,0)</f>
        <v>1</v>
      </c>
      <c r="O555" t="s">
        <v>21</v>
      </c>
    </row>
    <row r="556" spans="1:15">
      <c r="A556" t="s">
        <v>576</v>
      </c>
      <c r="B556" t="s">
        <v>23</v>
      </c>
      <c r="C556">
        <f>IF(B556="east",1,0)</f>
        <v>1</v>
      </c>
      <c r="D556" t="s">
        <v>17</v>
      </c>
      <c r="E556">
        <f>IF(D556="Guard",1,0)</f>
        <v>1</v>
      </c>
      <c r="F556">
        <f>IF(D556="Forward",1,0)</f>
        <v>0</v>
      </c>
      <c r="G556">
        <v>39</v>
      </c>
      <c r="H556">
        <v>22</v>
      </c>
      <c r="I556">
        <v>3.3</v>
      </c>
      <c r="J556">
        <v>0.4</v>
      </c>
      <c r="K556">
        <v>0.4</v>
      </c>
      <c r="L556">
        <v>0.8</v>
      </c>
      <c r="M556" s="1">
        <v>3634153</v>
      </c>
      <c r="N556" s="2">
        <f>IF(O556="US",1,0)</f>
        <v>1</v>
      </c>
      <c r="O556" t="s">
        <v>21</v>
      </c>
    </row>
    <row r="557" spans="1:15">
      <c r="A557" t="s">
        <v>577</v>
      </c>
      <c r="B557" t="s">
        <v>23</v>
      </c>
      <c r="C557">
        <f>IF(B557="east",1,0)</f>
        <v>1</v>
      </c>
      <c r="D557" t="s">
        <v>29</v>
      </c>
      <c r="E557">
        <f>IF(D557="Guard",1,0)</f>
        <v>0</v>
      </c>
      <c r="F557">
        <f>IF(D557="Forward",1,0)</f>
        <v>0</v>
      </c>
      <c r="G557">
        <v>24</v>
      </c>
      <c r="H557">
        <v>4</v>
      </c>
      <c r="I557">
        <v>3.8</v>
      </c>
      <c r="J557">
        <v>1.8</v>
      </c>
      <c r="K557">
        <v>0</v>
      </c>
      <c r="L557">
        <v>0.8</v>
      </c>
      <c r="M557" s="1">
        <v>2048494</v>
      </c>
      <c r="N557" s="2">
        <f>IF(O557="US",1,0)</f>
        <v>0</v>
      </c>
      <c r="O557" t="s">
        <v>18</v>
      </c>
    </row>
    <row r="558" spans="1:15">
      <c r="A558" t="s">
        <v>578</v>
      </c>
      <c r="B558" t="s">
        <v>16</v>
      </c>
      <c r="C558">
        <f>IF(B558="east",1,0)</f>
        <v>0</v>
      </c>
      <c r="D558" t="s">
        <v>17</v>
      </c>
      <c r="E558">
        <f>IF(D558="Guard",1,0)</f>
        <v>1</v>
      </c>
      <c r="F558">
        <f>IF(D558="Forward",1,0)</f>
        <v>0</v>
      </c>
      <c r="G558">
        <v>24</v>
      </c>
      <c r="H558">
        <v>9</v>
      </c>
      <c r="I558">
        <v>5.0999999999999996</v>
      </c>
      <c r="J558">
        <v>1.1000000000000001</v>
      </c>
      <c r="K558">
        <v>0.3</v>
      </c>
      <c r="L558">
        <v>0.8</v>
      </c>
      <c r="M558" s="1">
        <v>636435</v>
      </c>
      <c r="N558" s="2">
        <f>IF(O558="US",1,0)</f>
        <v>1</v>
      </c>
      <c r="O558" t="s">
        <v>21</v>
      </c>
    </row>
    <row r="559" spans="1:15">
      <c r="A559" t="s">
        <v>579</v>
      </c>
      <c r="B559" t="s">
        <v>23</v>
      </c>
      <c r="C559">
        <f>IF(B559="east",1,0)</f>
        <v>1</v>
      </c>
      <c r="D559" t="s">
        <v>17</v>
      </c>
      <c r="E559">
        <f>IF(D559="Guard",1,0)</f>
        <v>1</v>
      </c>
      <c r="F559">
        <f>IF(D559="Forward",1,0)</f>
        <v>0</v>
      </c>
      <c r="G559">
        <v>27</v>
      </c>
      <c r="H559">
        <v>5</v>
      </c>
      <c r="I559">
        <v>7.2</v>
      </c>
      <c r="J559">
        <v>0.2</v>
      </c>
      <c r="K559">
        <v>1.6</v>
      </c>
      <c r="L559">
        <v>0.8</v>
      </c>
      <c r="M559" s="1">
        <v>188932</v>
      </c>
      <c r="N559" s="2">
        <f>IF(O559="US",1,0)</f>
        <v>1</v>
      </c>
      <c r="O559" t="s">
        <v>21</v>
      </c>
    </row>
    <row r="560" spans="1:15">
      <c r="A560" t="s">
        <v>580</v>
      </c>
      <c r="B560" t="s">
        <v>23</v>
      </c>
      <c r="C560">
        <f>IF(B560="east",1,0)</f>
        <v>1</v>
      </c>
      <c r="D560" t="s">
        <v>29</v>
      </c>
      <c r="E560">
        <f>IF(D560="Guard",1,0)</f>
        <v>0</v>
      </c>
      <c r="F560">
        <f>IF(D560="Forward",1,0)</f>
        <v>0</v>
      </c>
      <c r="G560">
        <v>24</v>
      </c>
      <c r="H560">
        <v>9</v>
      </c>
      <c r="I560">
        <v>2.7</v>
      </c>
      <c r="J560">
        <v>1</v>
      </c>
      <c r="K560">
        <v>0.3</v>
      </c>
      <c r="L560">
        <v>0.8</v>
      </c>
      <c r="M560" s="1">
        <v>85300</v>
      </c>
      <c r="N560" s="2">
        <f>IF(O560="US",1,0)</f>
        <v>0</v>
      </c>
      <c r="O560" t="s">
        <v>18</v>
      </c>
    </row>
    <row r="561" spans="1:15">
      <c r="A561" t="s">
        <v>581</v>
      </c>
      <c r="B561" t="s">
        <v>23</v>
      </c>
      <c r="C561">
        <f>IF(B561="east",1,0)</f>
        <v>1</v>
      </c>
      <c r="D561" t="s">
        <v>24</v>
      </c>
      <c r="E561">
        <f>IF(D561="Guard",1,0)</f>
        <v>0</v>
      </c>
      <c r="F561">
        <f>IF(D561="Forward",1,0)</f>
        <v>1</v>
      </c>
      <c r="G561">
        <v>26</v>
      </c>
      <c r="H561">
        <v>6</v>
      </c>
      <c r="I561">
        <v>10.7</v>
      </c>
      <c r="J561">
        <v>1.5</v>
      </c>
      <c r="K561">
        <v>0.3</v>
      </c>
      <c r="L561">
        <v>0.8</v>
      </c>
      <c r="M561" s="1">
        <v>85300</v>
      </c>
      <c r="N561" s="2">
        <f>IF(O561="US",1,0)</f>
        <v>1</v>
      </c>
      <c r="O561" t="s">
        <v>21</v>
      </c>
    </row>
    <row r="562" spans="1:15">
      <c r="A562" t="s">
        <v>582</v>
      </c>
      <c r="B562" t="s">
        <v>23</v>
      </c>
      <c r="C562">
        <f>IF(B562="east",1,0)</f>
        <v>1</v>
      </c>
      <c r="D562" t="s">
        <v>17</v>
      </c>
      <c r="E562">
        <f>IF(D562="Guard",1,0)</f>
        <v>1</v>
      </c>
      <c r="F562">
        <f>IF(D562="Forward",1,0)</f>
        <v>0</v>
      </c>
      <c r="G562">
        <v>23</v>
      </c>
      <c r="H562">
        <v>11</v>
      </c>
      <c r="I562">
        <v>3.3</v>
      </c>
      <c r="J562">
        <v>0.5</v>
      </c>
      <c r="K562">
        <v>0.2</v>
      </c>
      <c r="L562">
        <v>0.6</v>
      </c>
      <c r="M562" s="1">
        <v>212145</v>
      </c>
      <c r="N562" s="2">
        <f>IF(O562="US",1,0)</f>
        <v>0</v>
      </c>
      <c r="O562" t="s">
        <v>18</v>
      </c>
    </row>
    <row r="563" spans="1:15">
      <c r="A563" t="s">
        <v>583</v>
      </c>
      <c r="B563" t="s">
        <v>16</v>
      </c>
      <c r="C563">
        <f>IF(B563="east",1,0)</f>
        <v>0</v>
      </c>
      <c r="D563" t="s">
        <v>24</v>
      </c>
      <c r="E563">
        <f>IF(D563="Guard",1,0)</f>
        <v>0</v>
      </c>
      <c r="F563">
        <f>IF(D563="Forward",1,0)</f>
        <v>1</v>
      </c>
      <c r="G563">
        <v>24</v>
      </c>
      <c r="H563">
        <v>8</v>
      </c>
      <c r="I563">
        <v>4</v>
      </c>
      <c r="J563">
        <v>0.4</v>
      </c>
      <c r="K563">
        <v>0.1</v>
      </c>
      <c r="L563">
        <v>0.1</v>
      </c>
      <c r="M563" s="1">
        <v>85300</v>
      </c>
      <c r="N563" s="2">
        <f>IF(O563="US",1,0)</f>
        <v>0</v>
      </c>
      <c r="O563" t="s">
        <v>18</v>
      </c>
    </row>
    <row r="564" spans="1:15">
      <c r="A564" t="s">
        <v>584</v>
      </c>
      <c r="B564" t="s">
        <v>23</v>
      </c>
      <c r="C564">
        <f>IF(B564="east",1,0)</f>
        <v>1</v>
      </c>
      <c r="D564" t="s">
        <v>24</v>
      </c>
      <c r="E564">
        <f>IF(D564="Guard",1,0)</f>
        <v>0</v>
      </c>
      <c r="F564">
        <f>IF(D564="Forward",1,0)</f>
        <v>1</v>
      </c>
      <c r="G564">
        <v>19</v>
      </c>
      <c r="H564">
        <v>2</v>
      </c>
      <c r="I564">
        <v>3</v>
      </c>
      <c r="J564">
        <v>0</v>
      </c>
      <c r="K564">
        <v>0</v>
      </c>
      <c r="L564">
        <v>0</v>
      </c>
      <c r="M564" s="1">
        <v>5429520</v>
      </c>
      <c r="N564" s="2">
        <f>IF(O564="US",1,0)</f>
        <v>0</v>
      </c>
      <c r="O564" t="s">
        <v>18</v>
      </c>
    </row>
    <row r="565" spans="1:15">
      <c r="A565" t="s">
        <v>585</v>
      </c>
      <c r="B565" t="s">
        <v>23</v>
      </c>
      <c r="C565">
        <f>IF(B565="east",1,0)</f>
        <v>1</v>
      </c>
      <c r="D565" t="s">
        <v>24</v>
      </c>
      <c r="E565">
        <f>IF(D565="Guard",1,0)</f>
        <v>0</v>
      </c>
      <c r="F565">
        <f>IF(D565="Forward",1,0)</f>
        <v>1</v>
      </c>
      <c r="G565">
        <v>24</v>
      </c>
      <c r="H565">
        <v>5</v>
      </c>
      <c r="I565">
        <v>1.6</v>
      </c>
      <c r="J565">
        <v>0.4</v>
      </c>
      <c r="K565">
        <v>0</v>
      </c>
      <c r="L565">
        <v>0</v>
      </c>
      <c r="M565" s="1">
        <v>537677</v>
      </c>
      <c r="N565" s="2">
        <f>IF(O565="US",1,0)</f>
        <v>0</v>
      </c>
      <c r="O565" t="s">
        <v>18</v>
      </c>
    </row>
    <row r="566" spans="1:15">
      <c r="A566" t="s">
        <v>586</v>
      </c>
      <c r="B566" t="s">
        <v>23</v>
      </c>
      <c r="C566">
        <f>IF(B566="east",1,0)</f>
        <v>1</v>
      </c>
      <c r="D566" t="s">
        <v>17</v>
      </c>
      <c r="E566">
        <f>IF(D566="Guard",1,0)</f>
        <v>1</v>
      </c>
      <c r="F566">
        <f>IF(D566="Forward",1,0)</f>
        <v>0</v>
      </c>
      <c r="G566">
        <v>26</v>
      </c>
      <c r="H566">
        <v>1</v>
      </c>
      <c r="I566">
        <v>3</v>
      </c>
      <c r="J566">
        <v>1</v>
      </c>
      <c r="K566">
        <v>0</v>
      </c>
      <c r="L566">
        <v>0</v>
      </c>
      <c r="M566" s="1">
        <v>190199</v>
      </c>
      <c r="N566" s="2">
        <f>IF(O566="US",1,0)</f>
        <v>1</v>
      </c>
      <c r="O566" t="s">
        <v>21</v>
      </c>
    </row>
    <row r="567" spans="1:15">
      <c r="A567" t="s">
        <v>587</v>
      </c>
      <c r="B567" t="s">
        <v>23</v>
      </c>
      <c r="C567">
        <f>IF(B567="east",1,0)</f>
        <v>1</v>
      </c>
      <c r="D567" t="s">
        <v>17</v>
      </c>
      <c r="E567">
        <f>IF(D567="Guard",1,0)</f>
        <v>1</v>
      </c>
      <c r="F567">
        <f>IF(D567="Forward",1,0)</f>
        <v>0</v>
      </c>
      <c r="G567">
        <v>22</v>
      </c>
      <c r="H567">
        <v>2</v>
      </c>
      <c r="I567">
        <v>6.5</v>
      </c>
      <c r="J567">
        <v>0.5</v>
      </c>
      <c r="K567">
        <v>1</v>
      </c>
      <c r="L567">
        <v>0</v>
      </c>
      <c r="M567" s="1">
        <v>85300</v>
      </c>
      <c r="N567" s="2">
        <f>IF(O567="US",1,0)</f>
        <v>1</v>
      </c>
      <c r="O567" t="s">
        <v>21</v>
      </c>
    </row>
  </sheetData>
  <sortState xmlns:xlrd2="http://schemas.microsoft.com/office/spreadsheetml/2017/richdata2" ref="A2:O567">
    <sortCondition descending="1" ref="L2:L5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98A0-9777-44F2-A8E4-75743B2ABA1A}">
  <dimension ref="A1:U567"/>
  <sheetViews>
    <sheetView workbookViewId="0">
      <selection activeCell="P5" sqref="P5"/>
    </sheetView>
  </sheetViews>
  <sheetFormatPr defaultRowHeight="15"/>
  <cols>
    <col min="9" max="9" width="17.85546875" customWidth="1"/>
    <col min="17" max="17" width="13.85546875" customWidth="1"/>
  </cols>
  <sheetData>
    <row r="1" spans="1:21">
      <c r="A1" t="s">
        <v>2</v>
      </c>
      <c r="B1" t="s">
        <v>4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1" t="s">
        <v>12</v>
      </c>
      <c r="J1" s="1" t="s">
        <v>13</v>
      </c>
      <c r="K1" s="1"/>
      <c r="L1" s="1"/>
      <c r="M1" t="s">
        <v>588</v>
      </c>
    </row>
    <row r="2" spans="1:21">
      <c r="A2">
        <v>0</v>
      </c>
      <c r="B2">
        <v>1</v>
      </c>
      <c r="C2">
        <v>0</v>
      </c>
      <c r="D2">
        <v>64</v>
      </c>
      <c r="E2">
        <v>35.799999999999997</v>
      </c>
      <c r="F2">
        <v>7.7</v>
      </c>
      <c r="G2">
        <v>8.3000000000000007</v>
      </c>
      <c r="H2">
        <v>33.5</v>
      </c>
      <c r="I2" s="1">
        <v>45999660</v>
      </c>
      <c r="J2" s="2">
        <v>0</v>
      </c>
      <c r="K2" s="1"/>
      <c r="L2" s="1"/>
    </row>
    <row r="3" spans="1:21">
      <c r="A3">
        <v>0</v>
      </c>
      <c r="B3">
        <v>1</v>
      </c>
      <c r="C3">
        <v>0</v>
      </c>
      <c r="D3">
        <v>68</v>
      </c>
      <c r="E3">
        <v>33.200000000000003</v>
      </c>
      <c r="F3">
        <v>4.3</v>
      </c>
      <c r="G3">
        <v>6.6</v>
      </c>
      <c r="H3">
        <v>31.1</v>
      </c>
      <c r="I3" s="1">
        <v>38333050</v>
      </c>
      <c r="J3" s="2">
        <v>0</v>
      </c>
      <c r="K3" s="1"/>
      <c r="L3" s="1"/>
      <c r="M3" s="3" t="s">
        <v>589</v>
      </c>
      <c r="N3" s="3"/>
    </row>
    <row r="4" spans="1:21">
      <c r="A4">
        <v>0</v>
      </c>
      <c r="B4">
        <v>1</v>
      </c>
      <c r="C4">
        <v>0</v>
      </c>
      <c r="D4">
        <v>61</v>
      </c>
      <c r="E4">
        <v>35</v>
      </c>
      <c r="F4">
        <v>5</v>
      </c>
      <c r="G4">
        <v>3.7</v>
      </c>
      <c r="H4">
        <v>28.8</v>
      </c>
      <c r="I4" s="1">
        <v>45550512</v>
      </c>
      <c r="J4" s="2">
        <v>1</v>
      </c>
      <c r="K4" s="1"/>
      <c r="L4" s="1"/>
      <c r="M4" t="s">
        <v>590</v>
      </c>
      <c r="N4">
        <v>0.78702099638042788</v>
      </c>
    </row>
    <row r="5" spans="1:21">
      <c r="A5">
        <v>1</v>
      </c>
      <c r="B5">
        <v>0</v>
      </c>
      <c r="C5">
        <v>1</v>
      </c>
      <c r="D5">
        <v>71</v>
      </c>
      <c r="E5">
        <v>34.4</v>
      </c>
      <c r="F5">
        <v>6.9</v>
      </c>
      <c r="G5">
        <v>5.0999999999999996</v>
      </c>
      <c r="H5">
        <v>28.7</v>
      </c>
      <c r="I5" s="1">
        <v>53142264</v>
      </c>
      <c r="J5" s="2">
        <v>1</v>
      </c>
      <c r="K5" s="1"/>
      <c r="L5" s="1"/>
      <c r="M5" s="7" t="s">
        <v>591</v>
      </c>
      <c r="N5" s="7">
        <v>0.61940204874364146</v>
      </c>
      <c r="P5" s="9" t="s">
        <v>592</v>
      </c>
    </row>
    <row r="6" spans="1:21">
      <c r="A6">
        <v>1</v>
      </c>
      <c r="B6">
        <v>1</v>
      </c>
      <c r="C6">
        <v>0</v>
      </c>
      <c r="D6">
        <v>70</v>
      </c>
      <c r="E6">
        <v>38</v>
      </c>
      <c r="F6">
        <v>4.0999999999999996</v>
      </c>
      <c r="G6">
        <v>6.6</v>
      </c>
      <c r="H6">
        <v>28.3</v>
      </c>
      <c r="I6" s="1">
        <v>37958760</v>
      </c>
      <c r="J6" s="2">
        <v>1</v>
      </c>
      <c r="K6" s="1"/>
      <c r="L6" s="1"/>
      <c r="M6" s="7" t="s">
        <v>593</v>
      </c>
      <c r="N6" s="7">
        <v>0.61324129053985144</v>
      </c>
      <c r="P6" s="9" t="s">
        <v>594</v>
      </c>
    </row>
    <row r="7" spans="1:21">
      <c r="A7">
        <v>0</v>
      </c>
      <c r="B7">
        <v>0</v>
      </c>
      <c r="C7">
        <v>1</v>
      </c>
      <c r="D7">
        <v>65</v>
      </c>
      <c r="E7">
        <v>32.1</v>
      </c>
      <c r="F7">
        <v>6.4</v>
      </c>
      <c r="G7">
        <v>3.6</v>
      </c>
      <c r="H7">
        <v>27.9</v>
      </c>
      <c r="I7" s="1">
        <v>50000000</v>
      </c>
      <c r="J7" s="2">
        <v>1</v>
      </c>
      <c r="K7" s="1"/>
      <c r="L7" s="1"/>
      <c r="M7" t="s">
        <v>595</v>
      </c>
      <c r="N7">
        <v>7972474.8597170282</v>
      </c>
      <c r="P7" s="9" t="s">
        <v>596</v>
      </c>
    </row>
    <row r="8" spans="1:21">
      <c r="A8">
        <v>1</v>
      </c>
      <c r="B8">
        <v>1</v>
      </c>
      <c r="C8">
        <v>0</v>
      </c>
      <c r="D8">
        <v>70</v>
      </c>
      <c r="E8">
        <v>33.5</v>
      </c>
      <c r="F8">
        <v>4.5</v>
      </c>
      <c r="G8">
        <v>5.7</v>
      </c>
      <c r="H8">
        <v>27.9</v>
      </c>
      <c r="I8" s="1">
        <v>46394100</v>
      </c>
      <c r="J8" s="2">
        <v>1</v>
      </c>
      <c r="K8" s="1"/>
      <c r="L8" s="1"/>
      <c r="M8" s="4" t="s">
        <v>597</v>
      </c>
      <c r="N8" s="4">
        <v>566</v>
      </c>
    </row>
    <row r="9" spans="1:21">
      <c r="A9">
        <v>0</v>
      </c>
      <c r="B9">
        <v>0</v>
      </c>
      <c r="C9">
        <v>0</v>
      </c>
      <c r="D9">
        <v>65</v>
      </c>
      <c r="E9">
        <v>34.799999999999997</v>
      </c>
      <c r="F9">
        <v>12.9</v>
      </c>
      <c r="G9">
        <v>10.7</v>
      </c>
      <c r="H9">
        <v>27.7</v>
      </c>
      <c r="I9" s="1">
        <v>55224526</v>
      </c>
      <c r="J9" s="2">
        <v>0</v>
      </c>
      <c r="K9" s="1"/>
      <c r="L9" s="1"/>
    </row>
    <row r="10" spans="1:21">
      <c r="A10">
        <v>1</v>
      </c>
      <c r="B10">
        <v>0</v>
      </c>
      <c r="C10">
        <v>1</v>
      </c>
      <c r="D10">
        <v>36</v>
      </c>
      <c r="E10">
        <v>28.9</v>
      </c>
      <c r="F10">
        <v>9.8000000000000007</v>
      </c>
      <c r="G10">
        <v>5.4</v>
      </c>
      <c r="H10">
        <v>27.6</v>
      </c>
      <c r="I10" s="1">
        <v>54126450</v>
      </c>
      <c r="J10" s="2">
        <v>0</v>
      </c>
      <c r="K10" s="1"/>
      <c r="L10" s="1"/>
      <c r="M10" t="s">
        <v>598</v>
      </c>
    </row>
    <row r="11" spans="1:21">
      <c r="A11">
        <v>1</v>
      </c>
      <c r="B11">
        <v>0</v>
      </c>
      <c r="C11">
        <v>0</v>
      </c>
      <c r="D11">
        <v>38</v>
      </c>
      <c r="E11">
        <v>31.6</v>
      </c>
      <c r="F11">
        <v>7.7</v>
      </c>
      <c r="G11">
        <v>3.9</v>
      </c>
      <c r="H11">
        <v>26.9</v>
      </c>
      <c r="I11" s="1">
        <v>55224526</v>
      </c>
      <c r="J11" s="2">
        <v>0</v>
      </c>
      <c r="K11" s="1"/>
      <c r="L11" s="1"/>
      <c r="M11" s="5"/>
      <c r="N11" s="5" t="s">
        <v>599</v>
      </c>
      <c r="O11" s="5" t="s">
        <v>600</v>
      </c>
      <c r="P11" s="5" t="s">
        <v>601</v>
      </c>
      <c r="Q11" s="5" t="s">
        <v>602</v>
      </c>
      <c r="R11" s="5" t="s">
        <v>603</v>
      </c>
    </row>
    <row r="12" spans="1:21">
      <c r="A12">
        <v>0</v>
      </c>
      <c r="B12">
        <v>0</v>
      </c>
      <c r="C12">
        <v>1</v>
      </c>
      <c r="D12">
        <v>42</v>
      </c>
      <c r="E12">
        <v>34.4</v>
      </c>
      <c r="F12">
        <v>6.9</v>
      </c>
      <c r="G12">
        <v>2.1</v>
      </c>
      <c r="H12">
        <v>26.7</v>
      </c>
      <c r="I12" s="1">
        <v>46394100</v>
      </c>
      <c r="J12" s="2">
        <v>0</v>
      </c>
      <c r="K12" s="1"/>
      <c r="L12" s="1"/>
      <c r="M12" t="s">
        <v>604</v>
      </c>
      <c r="N12">
        <v>9</v>
      </c>
      <c r="O12">
        <v>5.7513169223620608E+16</v>
      </c>
      <c r="P12">
        <v>6390352135957845</v>
      </c>
      <c r="Q12">
        <v>100.53990568280989</v>
      </c>
      <c r="R12">
        <v>1.3985748969193733E-110</v>
      </c>
    </row>
    <row r="13" spans="1:21">
      <c r="A13">
        <v>0</v>
      </c>
      <c r="B13">
        <v>1</v>
      </c>
      <c r="C13">
        <v>0</v>
      </c>
      <c r="D13">
        <v>43</v>
      </c>
      <c r="E13">
        <v>30.9</v>
      </c>
      <c r="F13">
        <v>3.6</v>
      </c>
      <c r="G13">
        <v>4.7</v>
      </c>
      <c r="H13">
        <v>26.6</v>
      </c>
      <c r="I13" s="1">
        <v>59606817</v>
      </c>
      <c r="J13" s="2">
        <v>1</v>
      </c>
      <c r="K13" s="1"/>
      <c r="L13" s="1"/>
      <c r="M13" t="s">
        <v>605</v>
      </c>
      <c r="N13">
        <v>556</v>
      </c>
      <c r="O13">
        <v>3.5339557596183948E+16</v>
      </c>
      <c r="P13">
        <v>63560355388820.047</v>
      </c>
    </row>
    <row r="14" spans="1:21">
      <c r="A14">
        <v>0</v>
      </c>
      <c r="B14">
        <v>1</v>
      </c>
      <c r="C14">
        <v>0</v>
      </c>
      <c r="D14">
        <v>64</v>
      </c>
      <c r="E14">
        <v>33.5</v>
      </c>
      <c r="F14">
        <v>3.9</v>
      </c>
      <c r="G14">
        <v>6</v>
      </c>
      <c r="H14">
        <v>26.1</v>
      </c>
      <c r="I14" s="1">
        <v>53142264</v>
      </c>
      <c r="J14" s="2">
        <v>1</v>
      </c>
      <c r="K14" s="1"/>
      <c r="L14" s="1"/>
      <c r="M14" s="4" t="s">
        <v>606</v>
      </c>
      <c r="N14" s="4">
        <v>565</v>
      </c>
      <c r="O14" s="4">
        <v>9.285272681980456E+16</v>
      </c>
      <c r="P14" s="4"/>
      <c r="Q14" s="4"/>
      <c r="R14" s="4"/>
    </row>
    <row r="15" spans="1:21">
      <c r="A15">
        <v>1</v>
      </c>
      <c r="B15">
        <v>1</v>
      </c>
      <c r="C15">
        <v>0</v>
      </c>
      <c r="D15">
        <v>74</v>
      </c>
      <c r="E15">
        <v>35</v>
      </c>
      <c r="F15">
        <v>3.3</v>
      </c>
      <c r="G15">
        <v>6.8</v>
      </c>
      <c r="H15">
        <v>26</v>
      </c>
      <c r="I15" s="1">
        <v>34944001</v>
      </c>
      <c r="J15" s="2">
        <v>1</v>
      </c>
      <c r="K15" s="1"/>
      <c r="L15" s="1"/>
    </row>
    <row r="16" spans="1:21">
      <c r="A16">
        <v>0</v>
      </c>
      <c r="B16">
        <v>0</v>
      </c>
      <c r="C16">
        <v>1</v>
      </c>
      <c r="D16">
        <v>78</v>
      </c>
      <c r="E16">
        <v>36.4</v>
      </c>
      <c r="F16">
        <v>5.5</v>
      </c>
      <c r="G16">
        <v>4.8</v>
      </c>
      <c r="H16">
        <v>26</v>
      </c>
      <c r="I16" s="1">
        <v>53282608</v>
      </c>
      <c r="J16" s="2">
        <v>1</v>
      </c>
      <c r="K16" s="1"/>
      <c r="L16" s="1"/>
      <c r="M16" s="5"/>
      <c r="N16" s="5" t="s">
        <v>607</v>
      </c>
      <c r="O16" s="5" t="s">
        <v>595</v>
      </c>
      <c r="P16" s="5" t="s">
        <v>608</v>
      </c>
      <c r="Q16" s="5" t="s">
        <v>609</v>
      </c>
      <c r="R16" s="5" t="s">
        <v>610</v>
      </c>
      <c r="S16" s="5" t="s">
        <v>611</v>
      </c>
      <c r="T16" s="5" t="s">
        <v>612</v>
      </c>
      <c r="U16" s="5" t="s">
        <v>613</v>
      </c>
    </row>
    <row r="17" spans="1:21">
      <c r="A17">
        <v>0</v>
      </c>
      <c r="B17">
        <v>1</v>
      </c>
      <c r="C17">
        <v>0</v>
      </c>
      <c r="D17">
        <v>75</v>
      </c>
      <c r="E17">
        <v>35.4</v>
      </c>
      <c r="F17">
        <v>4.4000000000000004</v>
      </c>
      <c r="G17">
        <v>7.1</v>
      </c>
      <c r="H17">
        <v>25.4</v>
      </c>
      <c r="I17" s="1">
        <v>46394100</v>
      </c>
      <c r="J17" s="2">
        <v>0</v>
      </c>
      <c r="K17" s="1"/>
      <c r="L17" s="1"/>
      <c r="M17" t="s">
        <v>614</v>
      </c>
      <c r="N17">
        <v>-815019.32066794496</v>
      </c>
      <c r="O17">
        <v>1418628.2042916382</v>
      </c>
      <c r="P17">
        <v>-0.57451227756669865</v>
      </c>
      <c r="Q17" s="8">
        <v>0.56585356188199221</v>
      </c>
      <c r="R17">
        <v>-3601545.3074410348</v>
      </c>
      <c r="S17">
        <v>1971506.6661051451</v>
      </c>
      <c r="T17">
        <v>-3601545.3074410348</v>
      </c>
      <c r="U17">
        <v>1971506.6661051451</v>
      </c>
    </row>
    <row r="18" spans="1:21">
      <c r="A18">
        <v>0</v>
      </c>
      <c r="B18">
        <v>0</v>
      </c>
      <c r="C18">
        <v>0</v>
      </c>
      <c r="D18">
        <v>64</v>
      </c>
      <c r="E18">
        <v>29.2</v>
      </c>
      <c r="F18">
        <v>11.5</v>
      </c>
      <c r="G18">
        <v>3.1</v>
      </c>
      <c r="H18">
        <v>25</v>
      </c>
      <c r="I18" s="1">
        <v>13376880</v>
      </c>
      <c r="J18" s="2">
        <v>0</v>
      </c>
      <c r="K18" s="1"/>
      <c r="L18" s="1"/>
      <c r="M18" t="s">
        <v>2</v>
      </c>
      <c r="N18">
        <v>574242.24081546429</v>
      </c>
      <c r="O18">
        <v>676098.23436243727</v>
      </c>
      <c r="P18">
        <v>0.84934734574033688</v>
      </c>
      <c r="Q18" s="8">
        <v>0.39605359516058658</v>
      </c>
      <c r="R18">
        <v>-753776.82292721106</v>
      </c>
      <c r="S18">
        <v>1902261.3045581398</v>
      </c>
      <c r="T18">
        <v>-753776.82292721106</v>
      </c>
      <c r="U18">
        <v>1902261.3045581398</v>
      </c>
    </row>
    <row r="19" spans="1:21">
      <c r="A19">
        <v>0</v>
      </c>
      <c r="B19">
        <v>0</v>
      </c>
      <c r="C19">
        <v>1</v>
      </c>
      <c r="D19">
        <v>66</v>
      </c>
      <c r="E19">
        <v>33.299999999999997</v>
      </c>
      <c r="F19">
        <v>6.9</v>
      </c>
      <c r="G19">
        <v>6.7</v>
      </c>
      <c r="H19">
        <v>24.2</v>
      </c>
      <c r="I19" s="1">
        <v>14375000</v>
      </c>
      <c r="J19" s="2">
        <v>0</v>
      </c>
      <c r="K19" s="1"/>
      <c r="L19" s="1"/>
      <c r="M19" t="s">
        <v>4</v>
      </c>
      <c r="N19">
        <v>-2913205.0167963626</v>
      </c>
      <c r="O19">
        <v>1371629.3832240466</v>
      </c>
      <c r="P19">
        <v>-2.1239009986420725</v>
      </c>
      <c r="Q19">
        <v>3.411923665473264E-2</v>
      </c>
      <c r="R19">
        <v>-5607414.0484600365</v>
      </c>
      <c r="S19">
        <v>-218995.98513268866</v>
      </c>
      <c r="T19">
        <v>-5607414.0484600365</v>
      </c>
      <c r="U19">
        <v>-218995.98513268866</v>
      </c>
    </row>
    <row r="20" spans="1:21">
      <c r="A20">
        <v>1</v>
      </c>
      <c r="B20">
        <v>0</v>
      </c>
      <c r="C20">
        <v>1</v>
      </c>
      <c r="D20">
        <v>52</v>
      </c>
      <c r="E20">
        <v>32.5</v>
      </c>
      <c r="F20">
        <v>7.1</v>
      </c>
      <c r="G20">
        <v>3</v>
      </c>
      <c r="H20">
        <v>24.2</v>
      </c>
      <c r="I20" s="1">
        <v>38333050</v>
      </c>
      <c r="J20" s="2">
        <v>1</v>
      </c>
      <c r="K20" s="1"/>
      <c r="L20" s="1"/>
      <c r="M20" t="s">
        <v>5</v>
      </c>
      <c r="N20">
        <v>45599.265771887854</v>
      </c>
      <c r="O20">
        <v>1126395.913171038</v>
      </c>
      <c r="P20">
        <v>4.0482449588720958E-2</v>
      </c>
      <c r="Q20" s="8">
        <v>0.96772303090369971</v>
      </c>
      <c r="R20">
        <v>-2166912.4225977659</v>
      </c>
      <c r="S20">
        <v>2258110.9541415414</v>
      </c>
      <c r="T20">
        <v>-2166912.4225977659</v>
      </c>
      <c r="U20">
        <v>2258110.9541415414</v>
      </c>
    </row>
    <row r="21" spans="1:21">
      <c r="A21">
        <v>1</v>
      </c>
      <c r="B21">
        <v>0</v>
      </c>
      <c r="C21">
        <v>1</v>
      </c>
      <c r="D21">
        <v>62</v>
      </c>
      <c r="E21">
        <v>33.200000000000003</v>
      </c>
      <c r="F21">
        <v>6.6</v>
      </c>
      <c r="G21">
        <v>3.8</v>
      </c>
      <c r="H21">
        <v>24</v>
      </c>
      <c r="I21" s="1">
        <v>45550512</v>
      </c>
      <c r="J21" s="2">
        <v>0</v>
      </c>
      <c r="K21" s="1"/>
      <c r="L21" s="1"/>
      <c r="M21" t="s">
        <v>7</v>
      </c>
      <c r="N21">
        <v>2674.3462129659815</v>
      </c>
      <c r="O21">
        <v>16069.807326585244</v>
      </c>
      <c r="P21">
        <v>0.16642055244443726</v>
      </c>
      <c r="Q21" s="8">
        <v>0.86788650202527762</v>
      </c>
      <c r="R21">
        <v>-28890.608989884917</v>
      </c>
      <c r="S21">
        <v>34239.301415816881</v>
      </c>
      <c r="T21">
        <v>-28890.608989884917</v>
      </c>
      <c r="U21">
        <v>34239.301415816881</v>
      </c>
    </row>
    <row r="22" spans="1:21">
      <c r="A22">
        <v>1</v>
      </c>
      <c r="B22">
        <v>1</v>
      </c>
      <c r="C22">
        <v>0</v>
      </c>
      <c r="D22">
        <v>64</v>
      </c>
      <c r="E22">
        <v>33.9</v>
      </c>
      <c r="F22">
        <v>5.5</v>
      </c>
      <c r="G22">
        <v>9.9</v>
      </c>
      <c r="H22">
        <v>23.9</v>
      </c>
      <c r="I22" s="1">
        <v>46394100</v>
      </c>
      <c r="J22" s="2">
        <v>1</v>
      </c>
      <c r="K22" s="1"/>
      <c r="L22" s="1"/>
      <c r="M22" t="s">
        <v>8</v>
      </c>
      <c r="N22">
        <v>-468759.45187188516</v>
      </c>
      <c r="O22">
        <v>96508.91739591962</v>
      </c>
      <c r="P22">
        <v>-4.857162058391344</v>
      </c>
      <c r="Q22">
        <v>1.5503348977314863E-6</v>
      </c>
      <c r="R22">
        <v>-658326.10891811899</v>
      </c>
      <c r="S22">
        <v>-279192.79482565133</v>
      </c>
      <c r="T22">
        <v>-658326.10891811899</v>
      </c>
      <c r="U22">
        <v>-279192.79482565133</v>
      </c>
    </row>
    <row r="23" spans="1:21">
      <c r="A23">
        <v>1</v>
      </c>
      <c r="B23">
        <v>1</v>
      </c>
      <c r="C23">
        <v>0</v>
      </c>
      <c r="D23">
        <v>70</v>
      </c>
      <c r="E23">
        <v>34.799999999999997</v>
      </c>
      <c r="F23">
        <v>4.8</v>
      </c>
      <c r="G23">
        <v>8</v>
      </c>
      <c r="H23">
        <v>23.6</v>
      </c>
      <c r="I23" s="1">
        <v>39182693</v>
      </c>
      <c r="J23" s="2">
        <v>1</v>
      </c>
      <c r="K23" s="1"/>
      <c r="L23" s="1"/>
      <c r="M23" t="s">
        <v>9</v>
      </c>
      <c r="N23">
        <v>269762.4751419258</v>
      </c>
      <c r="O23">
        <v>270632.17359634832</v>
      </c>
      <c r="P23">
        <v>0.99678641883976549</v>
      </c>
      <c r="Q23" s="8">
        <v>0.31930179550567034</v>
      </c>
      <c r="R23">
        <v>-261824.01263671397</v>
      </c>
      <c r="S23">
        <v>801348.96292056562</v>
      </c>
      <c r="T23">
        <v>-261824.01263671397</v>
      </c>
      <c r="U23">
        <v>801348.96292056562</v>
      </c>
    </row>
    <row r="24" spans="1:21">
      <c r="A24">
        <v>0</v>
      </c>
      <c r="B24">
        <v>1</v>
      </c>
      <c r="C24">
        <v>0</v>
      </c>
      <c r="D24">
        <v>54</v>
      </c>
      <c r="E24">
        <v>33.1</v>
      </c>
      <c r="F24">
        <v>3.7</v>
      </c>
      <c r="G24">
        <v>6.1</v>
      </c>
      <c r="H24">
        <v>23.6</v>
      </c>
      <c r="I24" s="1">
        <v>4278960</v>
      </c>
      <c r="J24" s="2">
        <v>1</v>
      </c>
      <c r="K24" s="1"/>
      <c r="L24" s="1"/>
      <c r="M24" t="s">
        <v>10</v>
      </c>
      <c r="N24">
        <v>1250016.8382981638</v>
      </c>
      <c r="O24">
        <v>305435.80292704713</v>
      </c>
      <c r="P24">
        <v>4.092568147934931</v>
      </c>
      <c r="Q24">
        <v>4.8984930922770955E-5</v>
      </c>
      <c r="R24">
        <v>650067.67644422897</v>
      </c>
      <c r="S24">
        <v>1849966.0001520987</v>
      </c>
      <c r="T24">
        <v>650067.67644422897</v>
      </c>
      <c r="U24">
        <v>1849966.0001520987</v>
      </c>
    </row>
    <row r="25" spans="1:21">
      <c r="A25">
        <v>0</v>
      </c>
      <c r="B25">
        <v>1</v>
      </c>
      <c r="C25">
        <v>0</v>
      </c>
      <c r="D25">
        <v>51</v>
      </c>
      <c r="E25">
        <v>34.5</v>
      </c>
      <c r="F25">
        <v>4.7</v>
      </c>
      <c r="G25">
        <v>5.5</v>
      </c>
      <c r="H25">
        <v>23.3</v>
      </c>
      <c r="I25" s="1">
        <v>13937574</v>
      </c>
      <c r="J25" s="2">
        <v>1</v>
      </c>
      <c r="K25" s="1"/>
      <c r="L25" s="1"/>
      <c r="M25" t="s">
        <v>11</v>
      </c>
      <c r="N25">
        <v>1782496.0803240081</v>
      </c>
      <c r="O25">
        <v>115177.59335634642</v>
      </c>
      <c r="P25">
        <v>15.476066380456199</v>
      </c>
      <c r="Q25">
        <v>3.4641115095320625E-45</v>
      </c>
      <c r="R25">
        <v>1556259.6668574507</v>
      </c>
      <c r="S25">
        <v>2008732.4937905655</v>
      </c>
      <c r="T25">
        <v>1556259.6668574507</v>
      </c>
      <c r="U25">
        <v>2008732.4937905655</v>
      </c>
    </row>
    <row r="26" spans="1:21">
      <c r="A26">
        <v>1</v>
      </c>
      <c r="B26">
        <v>0</v>
      </c>
      <c r="C26">
        <v>1</v>
      </c>
      <c r="D26">
        <v>72</v>
      </c>
      <c r="E26">
        <v>35.200000000000003</v>
      </c>
      <c r="F26">
        <v>10.3</v>
      </c>
      <c r="G26">
        <v>7.9</v>
      </c>
      <c r="H26">
        <v>22.5</v>
      </c>
      <c r="I26" s="1">
        <v>30000000</v>
      </c>
      <c r="J26" s="2">
        <v>1</v>
      </c>
      <c r="K26" s="1"/>
      <c r="L26" s="1"/>
      <c r="M26" s="4" t="s">
        <v>13</v>
      </c>
      <c r="N26" s="4">
        <v>105471.93949965516</v>
      </c>
      <c r="O26" s="4">
        <v>821281.99056396866</v>
      </c>
      <c r="P26" s="4">
        <v>0.12842353870103532</v>
      </c>
      <c r="Q26" s="10">
        <v>0.89786024223575289</v>
      </c>
      <c r="R26" s="4">
        <v>-1507722.837152876</v>
      </c>
      <c r="S26" s="4">
        <v>1718666.716152186</v>
      </c>
      <c r="T26" s="4">
        <v>-1507722.837152876</v>
      </c>
      <c r="U26" s="4">
        <v>1718666.716152186</v>
      </c>
    </row>
    <row r="27" spans="1:21">
      <c r="A27">
        <v>1</v>
      </c>
      <c r="B27">
        <v>0</v>
      </c>
      <c r="C27">
        <v>1</v>
      </c>
      <c r="D27">
        <v>72</v>
      </c>
      <c r="E27">
        <v>34.799999999999997</v>
      </c>
      <c r="F27">
        <v>8.4</v>
      </c>
      <c r="G27">
        <v>5.2</v>
      </c>
      <c r="H27">
        <v>22.2</v>
      </c>
      <c r="I27" s="1">
        <v>15334769</v>
      </c>
      <c r="J27" s="2">
        <v>1</v>
      </c>
      <c r="K27" s="1"/>
      <c r="L27" s="1"/>
    </row>
    <row r="28" spans="1:21">
      <c r="A28">
        <v>1</v>
      </c>
      <c r="B28">
        <v>0</v>
      </c>
      <c r="C28">
        <v>1</v>
      </c>
      <c r="D28">
        <v>16</v>
      </c>
      <c r="E28">
        <v>32.6</v>
      </c>
      <c r="F28">
        <v>10</v>
      </c>
      <c r="G28">
        <v>5.3</v>
      </c>
      <c r="H28">
        <v>21.8</v>
      </c>
      <c r="I28" s="1">
        <v>54126450</v>
      </c>
      <c r="J28" s="2">
        <v>1</v>
      </c>
      <c r="K28" s="1"/>
      <c r="L28" s="1"/>
      <c r="M28" s="11" t="s">
        <v>615</v>
      </c>
      <c r="N28" s="7"/>
      <c r="O28" s="7"/>
      <c r="P28" s="7"/>
      <c r="Q28" s="7"/>
      <c r="R28" s="7"/>
      <c r="S28" s="7"/>
      <c r="T28" s="7"/>
    </row>
    <row r="29" spans="1:21">
      <c r="A29">
        <v>1</v>
      </c>
      <c r="B29">
        <v>1</v>
      </c>
      <c r="C29">
        <v>0</v>
      </c>
      <c r="D29">
        <v>58</v>
      </c>
      <c r="E29">
        <v>29.6</v>
      </c>
      <c r="F29">
        <v>3.5</v>
      </c>
      <c r="G29">
        <v>2.5</v>
      </c>
      <c r="H29">
        <v>21.7</v>
      </c>
      <c r="I29" s="1">
        <v>20482758</v>
      </c>
      <c r="J29" s="2">
        <v>1</v>
      </c>
      <c r="K29" s="1"/>
      <c r="L29" s="1"/>
    </row>
    <row r="30" spans="1:21">
      <c r="A30">
        <v>1</v>
      </c>
      <c r="B30">
        <v>0</v>
      </c>
      <c r="C30">
        <v>1</v>
      </c>
      <c r="D30">
        <v>77</v>
      </c>
      <c r="E30">
        <v>33.799999999999997</v>
      </c>
      <c r="F30">
        <v>5.6</v>
      </c>
      <c r="G30">
        <v>3.7</v>
      </c>
      <c r="H30">
        <v>21.5</v>
      </c>
      <c r="I30" s="1">
        <v>38095238</v>
      </c>
      <c r="J30" s="2">
        <v>1</v>
      </c>
      <c r="K30" s="1"/>
      <c r="L30" s="1"/>
      <c r="M30" s="11" t="s">
        <v>616</v>
      </c>
      <c r="N30" s="7"/>
      <c r="O30" s="7"/>
    </row>
    <row r="31" spans="1:21">
      <c r="A31">
        <v>0</v>
      </c>
      <c r="B31">
        <v>0</v>
      </c>
      <c r="C31">
        <v>1</v>
      </c>
      <c r="D31">
        <v>66</v>
      </c>
      <c r="E31">
        <v>35.5</v>
      </c>
      <c r="F31">
        <v>5.7</v>
      </c>
      <c r="G31">
        <v>3.8</v>
      </c>
      <c r="H31">
        <v>21.5</v>
      </c>
      <c r="I31" s="1">
        <v>25000000</v>
      </c>
      <c r="J31" s="2">
        <v>1</v>
      </c>
      <c r="K31" s="1"/>
      <c r="L31" s="1"/>
      <c r="M31" s="11" t="s">
        <v>617</v>
      </c>
      <c r="N31" s="7"/>
      <c r="O31" s="7"/>
    </row>
    <row r="32" spans="1:21">
      <c r="A32">
        <v>0</v>
      </c>
      <c r="B32">
        <v>0</v>
      </c>
      <c r="C32">
        <v>1</v>
      </c>
      <c r="D32">
        <v>79</v>
      </c>
      <c r="E32">
        <v>33</v>
      </c>
      <c r="F32">
        <v>6.7</v>
      </c>
      <c r="G32">
        <v>5</v>
      </c>
      <c r="H32">
        <v>21.1</v>
      </c>
      <c r="I32" s="1">
        <v>30864198</v>
      </c>
      <c r="J32" s="2">
        <v>1</v>
      </c>
      <c r="K32" s="1"/>
      <c r="L32" s="1"/>
      <c r="M32" s="11" t="s">
        <v>618</v>
      </c>
      <c r="N32" s="7"/>
      <c r="O32" s="7"/>
    </row>
    <row r="33" spans="1:15">
      <c r="A33">
        <v>0</v>
      </c>
      <c r="B33">
        <v>0</v>
      </c>
      <c r="C33">
        <v>1</v>
      </c>
      <c r="D33">
        <v>70</v>
      </c>
      <c r="E33">
        <v>33.5</v>
      </c>
      <c r="F33">
        <v>6.7</v>
      </c>
      <c r="G33">
        <v>4.5</v>
      </c>
      <c r="H33">
        <v>21</v>
      </c>
      <c r="I33" s="1">
        <v>13825920</v>
      </c>
      <c r="J33" s="2">
        <v>1</v>
      </c>
      <c r="K33" s="1"/>
      <c r="L33" s="1"/>
      <c r="M33" s="11" t="s">
        <v>7</v>
      </c>
      <c r="N33" s="7"/>
      <c r="O33" s="7"/>
    </row>
    <row r="34" spans="1:15">
      <c r="A34">
        <v>0</v>
      </c>
      <c r="B34">
        <v>0</v>
      </c>
      <c r="C34">
        <v>1</v>
      </c>
      <c r="D34">
        <v>62</v>
      </c>
      <c r="E34">
        <v>29.7</v>
      </c>
      <c r="F34">
        <v>5.7</v>
      </c>
      <c r="G34">
        <v>3.2</v>
      </c>
      <c r="H34">
        <v>21</v>
      </c>
      <c r="I34" s="1">
        <v>39446090</v>
      </c>
      <c r="J34" s="2">
        <v>1</v>
      </c>
      <c r="K34" s="1"/>
      <c r="L34" s="1"/>
      <c r="M34" s="11" t="s">
        <v>9</v>
      </c>
      <c r="N34" s="7"/>
      <c r="O34" s="7"/>
    </row>
    <row r="35" spans="1:15">
      <c r="A35">
        <v>0</v>
      </c>
      <c r="B35">
        <v>0</v>
      </c>
      <c r="C35">
        <v>1</v>
      </c>
      <c r="D35">
        <v>60</v>
      </c>
      <c r="E35">
        <v>33.200000000000003</v>
      </c>
      <c r="F35">
        <v>6.1</v>
      </c>
      <c r="G35">
        <v>7.2</v>
      </c>
      <c r="H35">
        <v>20.9</v>
      </c>
      <c r="I35" s="1">
        <v>52627153</v>
      </c>
      <c r="J35" s="2">
        <v>1</v>
      </c>
      <c r="K35" s="1"/>
      <c r="L35" s="1"/>
      <c r="M35" s="11" t="s">
        <v>619</v>
      </c>
      <c r="N35" s="7"/>
      <c r="O35" s="7"/>
    </row>
    <row r="36" spans="1:15">
      <c r="A36">
        <v>1</v>
      </c>
      <c r="B36">
        <v>1</v>
      </c>
      <c r="C36">
        <v>0</v>
      </c>
      <c r="D36">
        <v>78</v>
      </c>
      <c r="E36">
        <v>33.4</v>
      </c>
      <c r="F36">
        <v>3.4</v>
      </c>
      <c r="G36">
        <v>3.7</v>
      </c>
      <c r="H36">
        <v>20.8</v>
      </c>
      <c r="I36" s="1">
        <v>15161800</v>
      </c>
      <c r="J36" s="2">
        <v>0</v>
      </c>
      <c r="K36" s="1"/>
      <c r="L36" s="1"/>
    </row>
    <row r="37" spans="1:15">
      <c r="A37">
        <v>0</v>
      </c>
      <c r="B37">
        <v>1</v>
      </c>
      <c r="C37">
        <v>0</v>
      </c>
      <c r="D37">
        <v>50</v>
      </c>
      <c r="E37">
        <v>29.4</v>
      </c>
      <c r="F37">
        <v>4.3</v>
      </c>
      <c r="G37">
        <v>2.6</v>
      </c>
      <c r="H37">
        <v>20.8</v>
      </c>
      <c r="I37" s="1">
        <v>8399983</v>
      </c>
      <c r="J37" s="2">
        <v>0</v>
      </c>
      <c r="K37" s="1"/>
      <c r="L37" s="1"/>
    </row>
    <row r="38" spans="1:15">
      <c r="A38">
        <v>1</v>
      </c>
      <c r="B38">
        <v>0</v>
      </c>
      <c r="C38">
        <v>1</v>
      </c>
      <c r="D38">
        <v>34</v>
      </c>
      <c r="E38">
        <v>30</v>
      </c>
      <c r="F38">
        <v>5.2</v>
      </c>
      <c r="G38">
        <v>3.3</v>
      </c>
      <c r="H38">
        <v>20.6</v>
      </c>
      <c r="I38" s="1">
        <v>38661750</v>
      </c>
      <c r="J38" s="2">
        <v>0</v>
      </c>
      <c r="K38" s="1"/>
      <c r="L38" s="1"/>
    </row>
    <row r="39" spans="1:15">
      <c r="A39">
        <v>1</v>
      </c>
      <c r="B39">
        <v>1</v>
      </c>
      <c r="C39">
        <v>0</v>
      </c>
      <c r="D39">
        <v>33</v>
      </c>
      <c r="E39">
        <v>31.3</v>
      </c>
      <c r="F39">
        <v>4.8</v>
      </c>
      <c r="G39">
        <v>4.0999999999999996</v>
      </c>
      <c r="H39">
        <v>20.5</v>
      </c>
      <c r="I39" s="1">
        <v>31000000</v>
      </c>
      <c r="J39" s="2">
        <v>1</v>
      </c>
      <c r="K39" s="1"/>
      <c r="L39" s="1"/>
    </row>
    <row r="40" spans="1:15">
      <c r="A40">
        <v>1</v>
      </c>
      <c r="B40">
        <v>0</v>
      </c>
      <c r="C40">
        <v>1</v>
      </c>
      <c r="D40">
        <v>20</v>
      </c>
      <c r="E40">
        <v>31.3</v>
      </c>
      <c r="F40">
        <v>11.1</v>
      </c>
      <c r="G40">
        <v>2.8</v>
      </c>
      <c r="H40">
        <v>20.399999999999999</v>
      </c>
      <c r="I40" s="1">
        <v>54126450</v>
      </c>
      <c r="J40" s="2">
        <v>1</v>
      </c>
      <c r="K40" s="1"/>
      <c r="L40" s="1"/>
    </row>
    <row r="41" spans="1:15">
      <c r="A41">
        <v>0</v>
      </c>
      <c r="B41">
        <v>0</v>
      </c>
      <c r="C41">
        <v>0</v>
      </c>
      <c r="D41">
        <v>72</v>
      </c>
      <c r="E41">
        <v>33.299999999999997</v>
      </c>
      <c r="F41">
        <v>8.9</v>
      </c>
      <c r="G41">
        <v>6.2</v>
      </c>
      <c r="H41">
        <v>20.399999999999999</v>
      </c>
      <c r="I41" s="1">
        <v>33944954</v>
      </c>
      <c r="J41" s="2">
        <v>0</v>
      </c>
      <c r="K41" s="1"/>
      <c r="L41" s="1"/>
    </row>
    <row r="42" spans="1:15">
      <c r="A42">
        <v>0</v>
      </c>
      <c r="B42">
        <v>0</v>
      </c>
      <c r="C42">
        <v>1</v>
      </c>
      <c r="D42">
        <v>56</v>
      </c>
      <c r="E42">
        <v>30.4</v>
      </c>
      <c r="F42">
        <v>3.6</v>
      </c>
      <c r="G42">
        <v>1.8</v>
      </c>
      <c r="H42">
        <v>20.2</v>
      </c>
      <c r="I42" s="1">
        <v>21124110</v>
      </c>
      <c r="J42" s="2">
        <v>0</v>
      </c>
      <c r="K42" s="1"/>
      <c r="L42" s="1"/>
    </row>
    <row r="43" spans="1:15">
      <c r="A43">
        <v>1</v>
      </c>
      <c r="B43">
        <v>0</v>
      </c>
      <c r="C43">
        <v>1</v>
      </c>
      <c r="D43">
        <v>65</v>
      </c>
      <c r="E43">
        <v>30.3</v>
      </c>
      <c r="F43">
        <v>4.9000000000000004</v>
      </c>
      <c r="G43">
        <v>3.3</v>
      </c>
      <c r="H43">
        <v>20.2</v>
      </c>
      <c r="I43" s="1">
        <v>11968800</v>
      </c>
      <c r="J43" s="2">
        <v>1</v>
      </c>
      <c r="K43" s="1"/>
      <c r="L43" s="1"/>
    </row>
    <row r="44" spans="1:15">
      <c r="A44">
        <v>1</v>
      </c>
      <c r="B44">
        <v>0</v>
      </c>
      <c r="C44">
        <v>0</v>
      </c>
      <c r="D44">
        <v>73</v>
      </c>
      <c r="E44">
        <v>32.4</v>
      </c>
      <c r="F44">
        <v>10</v>
      </c>
      <c r="G44">
        <v>3.2</v>
      </c>
      <c r="H44">
        <v>20.100000000000001</v>
      </c>
      <c r="I44" s="1">
        <v>37096620</v>
      </c>
      <c r="J44" s="2">
        <v>1</v>
      </c>
      <c r="K44" s="1"/>
      <c r="L44" s="1"/>
    </row>
    <row r="45" spans="1:15">
      <c r="A45">
        <v>1</v>
      </c>
      <c r="B45">
        <v>1</v>
      </c>
      <c r="C45">
        <v>0</v>
      </c>
      <c r="D45">
        <v>72</v>
      </c>
      <c r="E45">
        <v>28</v>
      </c>
      <c r="F45">
        <v>4.8</v>
      </c>
      <c r="G45">
        <v>7.1</v>
      </c>
      <c r="H45">
        <v>20.100000000000001</v>
      </c>
      <c r="I45" s="1">
        <v>37958760</v>
      </c>
      <c r="J45" s="2">
        <v>1</v>
      </c>
      <c r="K45" s="1"/>
      <c r="L45" s="1"/>
    </row>
    <row r="46" spans="1:15">
      <c r="A46">
        <v>1</v>
      </c>
      <c r="B46">
        <v>1</v>
      </c>
      <c r="C46">
        <v>0</v>
      </c>
      <c r="D46">
        <v>82</v>
      </c>
      <c r="E46">
        <v>33.6</v>
      </c>
      <c r="F46">
        <v>4.0999999999999996</v>
      </c>
      <c r="G46">
        <v>4.0999999999999996</v>
      </c>
      <c r="H46">
        <v>20.100000000000001</v>
      </c>
      <c r="I46" s="1">
        <v>36725670</v>
      </c>
      <c r="J46" s="2">
        <v>1</v>
      </c>
      <c r="K46" s="1"/>
      <c r="L46" s="1"/>
    </row>
    <row r="47" spans="1:15">
      <c r="A47">
        <v>1</v>
      </c>
      <c r="B47">
        <v>0</v>
      </c>
      <c r="C47">
        <v>0</v>
      </c>
      <c r="D47">
        <v>75</v>
      </c>
      <c r="E47">
        <v>31</v>
      </c>
      <c r="F47">
        <v>11.9</v>
      </c>
      <c r="G47">
        <v>3</v>
      </c>
      <c r="H47">
        <v>20.100000000000001</v>
      </c>
      <c r="I47" s="1">
        <v>53142264</v>
      </c>
      <c r="J47" s="2">
        <v>1</v>
      </c>
      <c r="K47" s="1"/>
      <c r="L47" s="1"/>
    </row>
    <row r="48" spans="1:15">
      <c r="A48">
        <v>0</v>
      </c>
      <c r="B48">
        <v>0</v>
      </c>
      <c r="C48">
        <v>1</v>
      </c>
      <c r="D48">
        <v>38</v>
      </c>
      <c r="E48">
        <v>31.1</v>
      </c>
      <c r="F48">
        <v>5.6</v>
      </c>
      <c r="G48">
        <v>4.9000000000000004</v>
      </c>
      <c r="H48">
        <v>20</v>
      </c>
      <c r="I48" s="1">
        <v>54126450</v>
      </c>
      <c r="J48" s="2">
        <v>1</v>
      </c>
      <c r="K48" s="1"/>
      <c r="L48" s="1"/>
    </row>
    <row r="49" spans="1:12">
      <c r="A49">
        <v>0</v>
      </c>
      <c r="B49">
        <v>1</v>
      </c>
      <c r="C49">
        <v>0</v>
      </c>
      <c r="D49">
        <v>15</v>
      </c>
      <c r="E49">
        <v>22.6</v>
      </c>
      <c r="F49">
        <v>2.8</v>
      </c>
      <c r="G49">
        <v>5.7</v>
      </c>
      <c r="H49">
        <v>19.7</v>
      </c>
      <c r="I49" s="1">
        <v>8781000</v>
      </c>
      <c r="J49" s="2">
        <v>1</v>
      </c>
      <c r="K49" s="1"/>
      <c r="L49" s="1"/>
    </row>
    <row r="50" spans="1:12">
      <c r="A50">
        <v>1</v>
      </c>
      <c r="B50">
        <v>0</v>
      </c>
      <c r="C50">
        <v>0</v>
      </c>
      <c r="D50">
        <v>70</v>
      </c>
      <c r="E50">
        <v>28.2</v>
      </c>
      <c r="F50">
        <v>10.5</v>
      </c>
      <c r="G50">
        <v>2</v>
      </c>
      <c r="H50">
        <v>19.5</v>
      </c>
      <c r="I50" s="1">
        <v>6483144</v>
      </c>
      <c r="J50" s="2">
        <v>1</v>
      </c>
      <c r="K50" s="1"/>
      <c r="L50" s="1"/>
    </row>
    <row r="51" spans="1:12">
      <c r="A51">
        <v>0</v>
      </c>
      <c r="B51">
        <v>1</v>
      </c>
      <c r="C51">
        <v>0</v>
      </c>
      <c r="D51">
        <v>20</v>
      </c>
      <c r="E51">
        <v>28.5</v>
      </c>
      <c r="F51">
        <v>3.3</v>
      </c>
      <c r="G51">
        <v>8.1</v>
      </c>
      <c r="H51">
        <v>19.5</v>
      </c>
      <c r="I51" s="1">
        <v>39446090</v>
      </c>
      <c r="J51" s="2">
        <v>1</v>
      </c>
      <c r="K51" s="1"/>
      <c r="L51" s="1"/>
    </row>
    <row r="52" spans="1:12">
      <c r="A52">
        <v>0</v>
      </c>
      <c r="B52">
        <v>0</v>
      </c>
      <c r="C52">
        <v>0</v>
      </c>
      <c r="D52">
        <v>48</v>
      </c>
      <c r="E52">
        <v>30.3</v>
      </c>
      <c r="F52">
        <v>5.7</v>
      </c>
      <c r="G52">
        <v>2</v>
      </c>
      <c r="H52">
        <v>19.399999999999999</v>
      </c>
      <c r="I52" s="1">
        <v>35000000</v>
      </c>
      <c r="J52" s="2">
        <v>1</v>
      </c>
      <c r="K52" s="1"/>
      <c r="L52" s="1"/>
    </row>
    <row r="53" spans="1:12">
      <c r="A53">
        <v>1</v>
      </c>
      <c r="B53">
        <v>0</v>
      </c>
      <c r="C53">
        <v>1</v>
      </c>
      <c r="D53">
        <v>57</v>
      </c>
      <c r="E53">
        <v>30.3</v>
      </c>
      <c r="F53">
        <v>5.3</v>
      </c>
      <c r="G53">
        <v>3.3</v>
      </c>
      <c r="H53">
        <v>19.3</v>
      </c>
      <c r="I53" s="1">
        <v>27705357</v>
      </c>
      <c r="J53" s="2">
        <v>0</v>
      </c>
      <c r="K53" s="1"/>
      <c r="L53" s="1"/>
    </row>
    <row r="54" spans="1:12">
      <c r="A54">
        <v>0</v>
      </c>
      <c r="B54">
        <v>1</v>
      </c>
      <c r="C54">
        <v>0</v>
      </c>
      <c r="D54">
        <v>39</v>
      </c>
      <c r="E54">
        <v>31.4</v>
      </c>
      <c r="F54">
        <v>2.8</v>
      </c>
      <c r="G54">
        <v>2.2999999999999998</v>
      </c>
      <c r="H54">
        <v>19.2</v>
      </c>
      <c r="I54" s="1">
        <v>45999660</v>
      </c>
      <c r="J54" s="2">
        <v>1</v>
      </c>
      <c r="K54" s="1"/>
      <c r="L54" s="1"/>
    </row>
    <row r="55" spans="1:12">
      <c r="A55">
        <v>0</v>
      </c>
      <c r="B55">
        <v>1</v>
      </c>
      <c r="C55">
        <v>0</v>
      </c>
      <c r="D55">
        <v>45</v>
      </c>
      <c r="E55">
        <v>29.9</v>
      </c>
      <c r="F55">
        <v>2.4</v>
      </c>
      <c r="G55">
        <v>6.7</v>
      </c>
      <c r="H55">
        <v>18.8</v>
      </c>
      <c r="I55" s="1">
        <v>39446090</v>
      </c>
      <c r="J55" s="2">
        <v>1</v>
      </c>
      <c r="K55" s="1"/>
      <c r="L55" s="1"/>
    </row>
    <row r="56" spans="1:12">
      <c r="A56">
        <v>1</v>
      </c>
      <c r="B56">
        <v>1</v>
      </c>
      <c r="C56">
        <v>0</v>
      </c>
      <c r="D56">
        <v>76</v>
      </c>
      <c r="E56">
        <v>29.8</v>
      </c>
      <c r="F56">
        <v>3.3</v>
      </c>
      <c r="G56">
        <v>3.9</v>
      </c>
      <c r="H56">
        <v>18.7</v>
      </c>
      <c r="I56" s="1">
        <v>30666666</v>
      </c>
      <c r="J56" s="2">
        <v>1</v>
      </c>
      <c r="K56" s="1"/>
      <c r="L56" s="1"/>
    </row>
    <row r="57" spans="1:12">
      <c r="A57">
        <v>0</v>
      </c>
      <c r="B57">
        <v>1</v>
      </c>
      <c r="C57">
        <v>0</v>
      </c>
      <c r="D57">
        <v>72</v>
      </c>
      <c r="E57">
        <v>31</v>
      </c>
      <c r="F57">
        <v>3.8</v>
      </c>
      <c r="G57">
        <v>6.2</v>
      </c>
      <c r="H57">
        <v>18.600000000000001</v>
      </c>
      <c r="I57" s="1">
        <v>37096620</v>
      </c>
      <c r="J57" s="2">
        <v>1</v>
      </c>
      <c r="K57" s="1"/>
      <c r="L57" s="1"/>
    </row>
    <row r="58" spans="1:12">
      <c r="A58">
        <v>0</v>
      </c>
      <c r="B58">
        <v>0</v>
      </c>
      <c r="C58">
        <v>1</v>
      </c>
      <c r="D58">
        <v>57</v>
      </c>
      <c r="E58">
        <v>29.7</v>
      </c>
      <c r="F58">
        <v>3.5</v>
      </c>
      <c r="G58">
        <v>2.1</v>
      </c>
      <c r="H58">
        <v>18.600000000000001</v>
      </c>
      <c r="I58" s="1">
        <v>32000001</v>
      </c>
      <c r="J58" s="2">
        <v>1</v>
      </c>
      <c r="K58" s="1"/>
      <c r="L58" s="1"/>
    </row>
    <row r="59" spans="1:12">
      <c r="A59">
        <v>1</v>
      </c>
      <c r="B59">
        <v>0</v>
      </c>
      <c r="C59">
        <v>1</v>
      </c>
      <c r="D59">
        <v>81</v>
      </c>
      <c r="E59">
        <v>31.5</v>
      </c>
      <c r="F59">
        <v>5.3</v>
      </c>
      <c r="G59">
        <v>3.4</v>
      </c>
      <c r="H59">
        <v>18.5</v>
      </c>
      <c r="I59" s="1">
        <v>10015680</v>
      </c>
      <c r="J59" s="2">
        <v>1</v>
      </c>
      <c r="K59" s="1"/>
      <c r="L59" s="1"/>
    </row>
    <row r="60" spans="1:12">
      <c r="A60">
        <v>0</v>
      </c>
      <c r="B60">
        <v>0</v>
      </c>
      <c r="C60">
        <v>1</v>
      </c>
      <c r="D60">
        <v>77</v>
      </c>
      <c r="E60">
        <v>31.2</v>
      </c>
      <c r="F60">
        <v>2.9</v>
      </c>
      <c r="G60">
        <v>4.0999999999999996</v>
      </c>
      <c r="H60">
        <v>18.399999999999999</v>
      </c>
      <c r="I60" s="1">
        <v>24570000</v>
      </c>
      <c r="J60" s="2">
        <v>1</v>
      </c>
      <c r="K60" s="1"/>
      <c r="L60" s="1"/>
    </row>
    <row r="61" spans="1:12">
      <c r="A61">
        <v>0</v>
      </c>
      <c r="B61">
        <v>1</v>
      </c>
      <c r="C61">
        <v>0</v>
      </c>
      <c r="D61">
        <v>79</v>
      </c>
      <c r="E61">
        <v>37.4</v>
      </c>
      <c r="F61">
        <v>7.8</v>
      </c>
      <c r="G61">
        <v>5.3</v>
      </c>
      <c r="H61">
        <v>18.3</v>
      </c>
      <c r="I61" s="1">
        <v>9690600</v>
      </c>
      <c r="J61" s="2">
        <v>1</v>
      </c>
      <c r="K61" s="1"/>
      <c r="L61" s="1"/>
    </row>
    <row r="62" spans="1:12">
      <c r="A62">
        <v>1</v>
      </c>
      <c r="B62">
        <v>0</v>
      </c>
      <c r="C62">
        <v>1</v>
      </c>
      <c r="D62">
        <v>65</v>
      </c>
      <c r="E62">
        <v>31.9</v>
      </c>
      <c r="F62">
        <v>9</v>
      </c>
      <c r="G62">
        <v>3.6</v>
      </c>
      <c r="H62">
        <v>18.2</v>
      </c>
      <c r="I62" s="1">
        <v>46394100</v>
      </c>
      <c r="J62" s="2">
        <v>1</v>
      </c>
      <c r="K62" s="1"/>
      <c r="L62" s="1"/>
    </row>
    <row r="63" spans="1:12">
      <c r="A63">
        <v>1</v>
      </c>
      <c r="B63">
        <v>0</v>
      </c>
      <c r="C63">
        <v>1</v>
      </c>
      <c r="D63">
        <v>80</v>
      </c>
      <c r="E63">
        <v>33.5</v>
      </c>
      <c r="F63">
        <v>7.5</v>
      </c>
      <c r="G63">
        <v>5.9</v>
      </c>
      <c r="H63">
        <v>18.100000000000001</v>
      </c>
      <c r="I63" s="1">
        <v>38661750</v>
      </c>
      <c r="J63" s="2">
        <v>1</v>
      </c>
      <c r="K63" s="1"/>
      <c r="L63" s="1"/>
    </row>
    <row r="64" spans="1:12">
      <c r="A64">
        <v>1</v>
      </c>
      <c r="B64">
        <v>1</v>
      </c>
      <c r="C64">
        <v>0</v>
      </c>
      <c r="D64">
        <v>15</v>
      </c>
      <c r="E64">
        <v>25.6</v>
      </c>
      <c r="F64">
        <v>2</v>
      </c>
      <c r="G64">
        <v>8</v>
      </c>
      <c r="H64">
        <v>17.899999999999999</v>
      </c>
      <c r="I64" s="1">
        <v>45999660</v>
      </c>
      <c r="J64" s="2">
        <v>1</v>
      </c>
      <c r="K64" s="1"/>
      <c r="L64" s="1"/>
    </row>
    <row r="65" spans="1:12">
      <c r="A65">
        <v>0</v>
      </c>
      <c r="B65">
        <v>1</v>
      </c>
      <c r="C65">
        <v>0</v>
      </c>
      <c r="D65">
        <v>32</v>
      </c>
      <c r="E65">
        <v>25.9</v>
      </c>
      <c r="F65">
        <v>3.6</v>
      </c>
      <c r="G65">
        <v>2.8</v>
      </c>
      <c r="H65">
        <v>17.8</v>
      </c>
      <c r="I65" s="1">
        <v>33333333</v>
      </c>
      <c r="J65" s="2">
        <v>1</v>
      </c>
      <c r="K65" s="1"/>
      <c r="L65" s="1"/>
    </row>
    <row r="66" spans="1:12">
      <c r="A66">
        <v>0</v>
      </c>
      <c r="B66">
        <v>0</v>
      </c>
      <c r="C66">
        <v>1</v>
      </c>
      <c r="D66">
        <v>72</v>
      </c>
      <c r="E66">
        <v>31.2</v>
      </c>
      <c r="F66">
        <v>5.6</v>
      </c>
      <c r="G66">
        <v>2.5</v>
      </c>
      <c r="H66">
        <v>17.7</v>
      </c>
      <c r="I66" s="1">
        <v>6118644</v>
      </c>
      <c r="J66" s="2">
        <v>1</v>
      </c>
      <c r="K66" s="1"/>
      <c r="L66" s="1"/>
    </row>
    <row r="67" spans="1:12">
      <c r="A67">
        <v>0</v>
      </c>
      <c r="B67">
        <v>0</v>
      </c>
      <c r="C67">
        <v>1</v>
      </c>
      <c r="D67">
        <v>54</v>
      </c>
      <c r="E67">
        <v>30</v>
      </c>
      <c r="F67">
        <v>5.4</v>
      </c>
      <c r="G67">
        <v>2.4</v>
      </c>
      <c r="H67">
        <v>17.600000000000001</v>
      </c>
      <c r="I67" s="1">
        <v>9187573</v>
      </c>
      <c r="J67" s="2">
        <v>0</v>
      </c>
      <c r="K67" s="1"/>
      <c r="L67" s="1"/>
    </row>
    <row r="68" spans="1:12">
      <c r="A68">
        <v>1</v>
      </c>
      <c r="B68">
        <v>1</v>
      </c>
      <c r="C68">
        <v>0</v>
      </c>
      <c r="D68">
        <v>50</v>
      </c>
      <c r="E68">
        <v>25</v>
      </c>
      <c r="F68">
        <v>3.4</v>
      </c>
      <c r="G68">
        <v>4</v>
      </c>
      <c r="H68">
        <v>17.399999999999999</v>
      </c>
      <c r="I68" s="1">
        <v>12888889</v>
      </c>
      <c r="J68" s="2">
        <v>1</v>
      </c>
      <c r="K68" s="1"/>
      <c r="L68" s="1"/>
    </row>
    <row r="69" spans="1:12">
      <c r="A69">
        <v>1</v>
      </c>
      <c r="B69">
        <v>1</v>
      </c>
      <c r="C69">
        <v>0</v>
      </c>
      <c r="D69">
        <v>38</v>
      </c>
      <c r="E69">
        <v>33.200000000000003</v>
      </c>
      <c r="F69">
        <v>5.2</v>
      </c>
      <c r="G69">
        <v>7.4</v>
      </c>
      <c r="H69">
        <v>17.399999999999999</v>
      </c>
      <c r="I69" s="1">
        <v>5134000</v>
      </c>
      <c r="J69" s="2">
        <v>1</v>
      </c>
      <c r="K69" s="1"/>
      <c r="L69" s="1"/>
    </row>
    <row r="70" spans="1:12">
      <c r="A70">
        <v>1</v>
      </c>
      <c r="B70">
        <v>0</v>
      </c>
      <c r="C70">
        <v>1</v>
      </c>
      <c r="D70">
        <v>37</v>
      </c>
      <c r="E70">
        <v>30.7</v>
      </c>
      <c r="F70">
        <v>5.3</v>
      </c>
      <c r="G70">
        <v>3.6</v>
      </c>
      <c r="H70">
        <v>17.3</v>
      </c>
      <c r="I70" s="1">
        <v>51666090</v>
      </c>
      <c r="J70" s="2">
        <v>1</v>
      </c>
      <c r="K70" s="1"/>
      <c r="L70" s="1"/>
    </row>
    <row r="71" spans="1:12">
      <c r="A71">
        <v>1</v>
      </c>
      <c r="B71">
        <v>1</v>
      </c>
      <c r="C71">
        <v>0</v>
      </c>
      <c r="D71">
        <v>74</v>
      </c>
      <c r="E71">
        <v>32.1</v>
      </c>
      <c r="F71">
        <v>4.5999999999999996</v>
      </c>
      <c r="G71">
        <v>5.6</v>
      </c>
      <c r="H71">
        <v>17.3</v>
      </c>
      <c r="I71" s="1">
        <v>4000000</v>
      </c>
      <c r="J71" s="2">
        <v>1</v>
      </c>
      <c r="K71" s="1"/>
      <c r="L71" s="1"/>
    </row>
    <row r="72" spans="1:12">
      <c r="A72">
        <v>1</v>
      </c>
      <c r="B72">
        <v>0</v>
      </c>
      <c r="C72">
        <v>1</v>
      </c>
      <c r="D72">
        <v>77</v>
      </c>
      <c r="E72">
        <v>31</v>
      </c>
      <c r="F72">
        <v>5.8</v>
      </c>
      <c r="G72">
        <v>3.2</v>
      </c>
      <c r="H72">
        <v>17.100000000000001</v>
      </c>
      <c r="I72" s="1">
        <v>25000000</v>
      </c>
      <c r="J72" s="2">
        <v>1</v>
      </c>
      <c r="K72" s="1"/>
      <c r="L72" s="1"/>
    </row>
    <row r="73" spans="1:12">
      <c r="A73">
        <v>0</v>
      </c>
      <c r="B73">
        <v>0</v>
      </c>
      <c r="C73">
        <v>1</v>
      </c>
      <c r="D73">
        <v>69</v>
      </c>
      <c r="E73">
        <v>28.9</v>
      </c>
      <c r="F73">
        <v>8.9</v>
      </c>
      <c r="G73">
        <v>1.7</v>
      </c>
      <c r="H73">
        <v>17.100000000000001</v>
      </c>
      <c r="I73" s="1">
        <v>13731368</v>
      </c>
      <c r="J73" s="2">
        <v>1</v>
      </c>
      <c r="K73" s="1"/>
      <c r="L73" s="1"/>
    </row>
    <row r="74" spans="1:12">
      <c r="A74">
        <v>0</v>
      </c>
      <c r="B74">
        <v>1</v>
      </c>
      <c r="C74">
        <v>0</v>
      </c>
      <c r="D74">
        <v>33</v>
      </c>
      <c r="E74">
        <v>28.4</v>
      </c>
      <c r="F74">
        <v>4.5999999999999996</v>
      </c>
      <c r="G74">
        <v>5.5</v>
      </c>
      <c r="H74">
        <v>17.100000000000001</v>
      </c>
      <c r="I74" s="1">
        <v>6580997</v>
      </c>
      <c r="J74" s="2">
        <v>1</v>
      </c>
      <c r="K74" s="1"/>
      <c r="L74" s="1"/>
    </row>
    <row r="75" spans="1:12">
      <c r="A75">
        <v>1</v>
      </c>
      <c r="B75">
        <v>1</v>
      </c>
      <c r="C75">
        <v>0</v>
      </c>
      <c r="D75">
        <v>54</v>
      </c>
      <c r="E75">
        <v>32.1</v>
      </c>
      <c r="F75">
        <v>8.3000000000000007</v>
      </c>
      <c r="G75">
        <v>9.1</v>
      </c>
      <c r="H75">
        <v>17</v>
      </c>
      <c r="I75" s="1">
        <v>25000000</v>
      </c>
      <c r="J75" s="2">
        <v>0</v>
      </c>
      <c r="K75" s="1"/>
      <c r="L75" s="1"/>
    </row>
    <row r="76" spans="1:12">
      <c r="A76">
        <v>1</v>
      </c>
      <c r="B76">
        <v>1</v>
      </c>
      <c r="C76">
        <v>0</v>
      </c>
      <c r="D76">
        <v>79</v>
      </c>
      <c r="E76">
        <v>32.4</v>
      </c>
      <c r="F76">
        <v>3.9</v>
      </c>
      <c r="G76">
        <v>5.2</v>
      </c>
      <c r="H76">
        <v>17</v>
      </c>
      <c r="I76" s="1">
        <v>7232143</v>
      </c>
      <c r="J76" s="2">
        <v>1</v>
      </c>
      <c r="K76" s="1"/>
      <c r="L76" s="1"/>
    </row>
    <row r="77" spans="1:12">
      <c r="A77">
        <v>1</v>
      </c>
      <c r="B77">
        <v>1</v>
      </c>
      <c r="C77">
        <v>0</v>
      </c>
      <c r="D77">
        <v>57</v>
      </c>
      <c r="E77">
        <v>31.3</v>
      </c>
      <c r="F77">
        <v>2.8</v>
      </c>
      <c r="G77">
        <v>7.7</v>
      </c>
      <c r="H77">
        <v>16.899999999999999</v>
      </c>
      <c r="I77" s="1">
        <v>18102000</v>
      </c>
      <c r="J77" s="2">
        <v>0</v>
      </c>
      <c r="K77" s="1"/>
      <c r="L77" s="1"/>
    </row>
    <row r="78" spans="1:12">
      <c r="A78">
        <v>0</v>
      </c>
      <c r="B78">
        <v>0</v>
      </c>
      <c r="C78">
        <v>0</v>
      </c>
      <c r="D78">
        <v>32</v>
      </c>
      <c r="E78">
        <v>24</v>
      </c>
      <c r="F78">
        <v>5.2</v>
      </c>
      <c r="G78">
        <v>2.5</v>
      </c>
      <c r="H78">
        <v>16.7</v>
      </c>
      <c r="I78" s="1">
        <v>30731707</v>
      </c>
      <c r="J78" s="2">
        <v>0</v>
      </c>
      <c r="K78" s="1"/>
      <c r="L78" s="1"/>
    </row>
    <row r="79" spans="1:12">
      <c r="A79">
        <v>1</v>
      </c>
      <c r="B79">
        <v>0</v>
      </c>
      <c r="C79">
        <v>1</v>
      </c>
      <c r="D79">
        <v>67</v>
      </c>
      <c r="E79">
        <v>33.200000000000003</v>
      </c>
      <c r="F79">
        <v>5.2</v>
      </c>
      <c r="G79">
        <v>2.2000000000000002</v>
      </c>
      <c r="H79">
        <v>16.7</v>
      </c>
      <c r="I79" s="1">
        <v>39568966</v>
      </c>
      <c r="J79" s="2">
        <v>0</v>
      </c>
      <c r="K79" s="1"/>
      <c r="L79" s="1"/>
    </row>
    <row r="80" spans="1:12">
      <c r="A80">
        <v>0</v>
      </c>
      <c r="B80">
        <v>1</v>
      </c>
      <c r="C80">
        <v>0</v>
      </c>
      <c r="D80">
        <v>68</v>
      </c>
      <c r="E80">
        <v>30</v>
      </c>
      <c r="F80">
        <v>5.3</v>
      </c>
      <c r="G80">
        <v>7.4</v>
      </c>
      <c r="H80">
        <v>16.7</v>
      </c>
      <c r="I80" s="1">
        <v>9560520</v>
      </c>
      <c r="J80" s="2">
        <v>1</v>
      </c>
      <c r="K80" s="1"/>
      <c r="L80" s="1"/>
    </row>
    <row r="81" spans="1:12">
      <c r="A81">
        <v>0</v>
      </c>
      <c r="B81">
        <v>1</v>
      </c>
      <c r="C81">
        <v>0</v>
      </c>
      <c r="D81">
        <v>14</v>
      </c>
      <c r="E81">
        <v>27.8</v>
      </c>
      <c r="F81">
        <v>5.4</v>
      </c>
      <c r="G81">
        <v>6.4</v>
      </c>
      <c r="H81">
        <v>16.7</v>
      </c>
      <c r="I81" s="1">
        <v>26783568</v>
      </c>
      <c r="J81" s="2">
        <v>1</v>
      </c>
      <c r="K81" s="1"/>
      <c r="L81" s="1"/>
    </row>
    <row r="82" spans="1:12">
      <c r="A82">
        <v>0</v>
      </c>
      <c r="B82">
        <v>1</v>
      </c>
      <c r="C82">
        <v>0</v>
      </c>
      <c r="D82">
        <v>51</v>
      </c>
      <c r="E82">
        <v>28.8</v>
      </c>
      <c r="F82">
        <v>3</v>
      </c>
      <c r="G82">
        <v>3.8</v>
      </c>
      <c r="H82">
        <v>16.5</v>
      </c>
      <c r="I82" s="1">
        <v>16875000</v>
      </c>
      <c r="J82" s="2">
        <v>1</v>
      </c>
      <c r="K82" s="1"/>
      <c r="L82" s="1"/>
    </row>
    <row r="83" spans="1:12">
      <c r="A83">
        <v>1</v>
      </c>
      <c r="B83">
        <v>1</v>
      </c>
      <c r="C83">
        <v>0</v>
      </c>
      <c r="D83">
        <v>77</v>
      </c>
      <c r="E83">
        <v>34.1</v>
      </c>
      <c r="F83">
        <v>4.4000000000000004</v>
      </c>
      <c r="G83">
        <v>5.4</v>
      </c>
      <c r="H83">
        <v>16.5</v>
      </c>
      <c r="I83" s="1">
        <v>26350000</v>
      </c>
      <c r="J83" s="2">
        <v>1</v>
      </c>
      <c r="K83" s="1"/>
      <c r="L83" s="1"/>
    </row>
    <row r="84" spans="1:12">
      <c r="A84">
        <v>1</v>
      </c>
      <c r="B84">
        <v>1</v>
      </c>
      <c r="C84">
        <v>0</v>
      </c>
      <c r="D84">
        <v>70</v>
      </c>
      <c r="E84">
        <v>31.9</v>
      </c>
      <c r="F84">
        <v>4</v>
      </c>
      <c r="G84">
        <v>5.9</v>
      </c>
      <c r="H84">
        <v>16.399999999999999</v>
      </c>
      <c r="I84" s="1">
        <v>32500000</v>
      </c>
      <c r="J84" s="2">
        <v>1</v>
      </c>
      <c r="K84" s="1"/>
      <c r="L84" s="1"/>
    </row>
    <row r="85" spans="1:12">
      <c r="A85">
        <v>1</v>
      </c>
      <c r="B85">
        <v>0</v>
      </c>
      <c r="C85">
        <v>1</v>
      </c>
      <c r="D85">
        <v>77</v>
      </c>
      <c r="E85">
        <v>29.2</v>
      </c>
      <c r="F85">
        <v>5.8</v>
      </c>
      <c r="G85">
        <v>2.1</v>
      </c>
      <c r="H85">
        <v>16.3</v>
      </c>
      <c r="I85" s="1">
        <v>5455560</v>
      </c>
      <c r="J85" s="2">
        <v>1</v>
      </c>
      <c r="K85" s="1"/>
      <c r="L85" s="1"/>
    </row>
    <row r="86" spans="1:12">
      <c r="A86">
        <v>0</v>
      </c>
      <c r="B86">
        <v>1</v>
      </c>
      <c r="C86">
        <v>0</v>
      </c>
      <c r="D86">
        <v>53</v>
      </c>
      <c r="E86">
        <v>29.4</v>
      </c>
      <c r="F86">
        <v>4.5999999999999996</v>
      </c>
      <c r="G86">
        <v>6.1</v>
      </c>
      <c r="H86">
        <v>16.3</v>
      </c>
      <c r="I86" s="1">
        <v>32400000</v>
      </c>
      <c r="J86" s="2">
        <v>1</v>
      </c>
      <c r="K86" s="1"/>
      <c r="L86" s="1"/>
    </row>
    <row r="87" spans="1:12">
      <c r="A87">
        <v>1</v>
      </c>
      <c r="B87">
        <v>0</v>
      </c>
      <c r="C87">
        <v>0</v>
      </c>
      <c r="D87">
        <v>48</v>
      </c>
      <c r="E87">
        <v>27.2</v>
      </c>
      <c r="F87">
        <v>7.4</v>
      </c>
      <c r="G87">
        <v>2.7</v>
      </c>
      <c r="H87">
        <v>16.3</v>
      </c>
      <c r="I87" s="1">
        <v>11808240</v>
      </c>
      <c r="J87" s="2">
        <v>0</v>
      </c>
      <c r="K87" s="1"/>
      <c r="L87" s="1"/>
    </row>
    <row r="88" spans="1:12">
      <c r="A88">
        <v>0</v>
      </c>
      <c r="B88">
        <v>0</v>
      </c>
      <c r="C88">
        <v>1</v>
      </c>
      <c r="D88">
        <v>6</v>
      </c>
      <c r="E88">
        <v>30.5</v>
      </c>
      <c r="F88">
        <v>4</v>
      </c>
      <c r="G88">
        <v>1.5</v>
      </c>
      <c r="H88">
        <v>16.3</v>
      </c>
      <c r="I88" s="1">
        <v>3394530</v>
      </c>
      <c r="J88" s="2">
        <v>1</v>
      </c>
      <c r="K88" s="1"/>
      <c r="L88" s="1"/>
    </row>
    <row r="89" spans="1:12">
      <c r="A89">
        <v>0</v>
      </c>
      <c r="B89">
        <v>0</v>
      </c>
      <c r="C89">
        <v>1</v>
      </c>
      <c r="D89">
        <v>36</v>
      </c>
      <c r="E89">
        <v>27.9</v>
      </c>
      <c r="F89">
        <v>5.8</v>
      </c>
      <c r="G89">
        <v>2.7</v>
      </c>
      <c r="H89">
        <v>16.2</v>
      </c>
      <c r="I89" s="1">
        <v>22841455</v>
      </c>
      <c r="J89" s="2">
        <v>1</v>
      </c>
      <c r="K89" s="1"/>
      <c r="L89" s="1"/>
    </row>
    <row r="90" spans="1:12">
      <c r="A90">
        <v>1</v>
      </c>
      <c r="B90">
        <v>1</v>
      </c>
      <c r="C90">
        <v>0</v>
      </c>
      <c r="D90">
        <v>75</v>
      </c>
      <c r="E90">
        <v>35</v>
      </c>
      <c r="F90">
        <v>5.6</v>
      </c>
      <c r="G90">
        <v>4.2</v>
      </c>
      <c r="H90">
        <v>16</v>
      </c>
      <c r="I90" s="1">
        <v>11108880</v>
      </c>
      <c r="J90" s="2">
        <v>0</v>
      </c>
      <c r="K90" s="1"/>
      <c r="L90" s="1"/>
    </row>
    <row r="91" spans="1:12">
      <c r="A91">
        <v>0</v>
      </c>
      <c r="B91">
        <v>0</v>
      </c>
      <c r="C91">
        <v>0</v>
      </c>
      <c r="D91">
        <v>19</v>
      </c>
      <c r="E91">
        <v>29.7</v>
      </c>
      <c r="F91">
        <v>11.4</v>
      </c>
      <c r="G91">
        <v>4.0999999999999996</v>
      </c>
      <c r="H91">
        <v>15.8</v>
      </c>
      <c r="I91" s="1">
        <v>42336000</v>
      </c>
      <c r="J91" s="2">
        <v>0</v>
      </c>
      <c r="K91" s="1"/>
      <c r="L91" s="1"/>
    </row>
    <row r="92" spans="1:12">
      <c r="A92">
        <v>0</v>
      </c>
      <c r="B92">
        <v>0</v>
      </c>
      <c r="C92">
        <v>1</v>
      </c>
      <c r="D92">
        <v>77</v>
      </c>
      <c r="E92">
        <v>35.1</v>
      </c>
      <c r="F92">
        <v>6.9</v>
      </c>
      <c r="G92">
        <v>1.9</v>
      </c>
      <c r="H92">
        <v>15.8</v>
      </c>
      <c r="I92" s="1">
        <v>12350392</v>
      </c>
      <c r="J92" s="2">
        <v>1</v>
      </c>
      <c r="K92" s="1"/>
      <c r="L92" s="1"/>
    </row>
    <row r="93" spans="1:12">
      <c r="A93">
        <v>1</v>
      </c>
      <c r="B93">
        <v>1</v>
      </c>
      <c r="C93">
        <v>0</v>
      </c>
      <c r="D93">
        <v>68</v>
      </c>
      <c r="E93">
        <v>23.7</v>
      </c>
      <c r="F93">
        <v>2.2999999999999998</v>
      </c>
      <c r="G93">
        <v>3.3</v>
      </c>
      <c r="H93">
        <v>15.4</v>
      </c>
      <c r="I93" s="1">
        <v>18975000</v>
      </c>
      <c r="J93" s="2">
        <v>1</v>
      </c>
      <c r="K93" s="1"/>
      <c r="L93" s="1"/>
    </row>
    <row r="94" spans="1:12">
      <c r="A94">
        <v>1</v>
      </c>
      <c r="B94">
        <v>0</v>
      </c>
      <c r="C94">
        <v>0</v>
      </c>
      <c r="D94">
        <v>56</v>
      </c>
      <c r="E94">
        <v>27.1</v>
      </c>
      <c r="F94">
        <v>8.5</v>
      </c>
      <c r="G94">
        <v>1.8</v>
      </c>
      <c r="H94">
        <v>15.4</v>
      </c>
      <c r="I94" s="1">
        <v>20000000</v>
      </c>
      <c r="J94" s="2">
        <v>1</v>
      </c>
      <c r="K94" s="1"/>
      <c r="L94" s="1"/>
    </row>
    <row r="95" spans="1:12">
      <c r="A95">
        <v>1</v>
      </c>
      <c r="B95">
        <v>0</v>
      </c>
      <c r="C95">
        <v>1</v>
      </c>
      <c r="D95">
        <v>75</v>
      </c>
      <c r="E95">
        <v>28.3</v>
      </c>
      <c r="F95">
        <v>5</v>
      </c>
      <c r="G95">
        <v>4.7</v>
      </c>
      <c r="H95">
        <v>15.4</v>
      </c>
      <c r="I95" s="1">
        <v>3861600</v>
      </c>
      <c r="J95" s="2">
        <v>1</v>
      </c>
      <c r="K95" s="1"/>
      <c r="L95" s="1"/>
    </row>
    <row r="96" spans="1:12">
      <c r="A96">
        <v>1</v>
      </c>
      <c r="B96">
        <v>0</v>
      </c>
      <c r="C96">
        <v>1</v>
      </c>
      <c r="D96">
        <v>68</v>
      </c>
      <c r="E96">
        <v>30.3</v>
      </c>
      <c r="F96">
        <v>4.8</v>
      </c>
      <c r="G96">
        <v>2.7</v>
      </c>
      <c r="H96">
        <v>15.4</v>
      </c>
      <c r="I96" s="1">
        <v>28223215</v>
      </c>
      <c r="J96" s="2">
        <v>0</v>
      </c>
      <c r="K96" s="1"/>
      <c r="L96" s="1"/>
    </row>
    <row r="97" spans="1:12">
      <c r="A97">
        <v>0</v>
      </c>
      <c r="B97">
        <v>0</v>
      </c>
      <c r="C97">
        <v>1</v>
      </c>
      <c r="D97">
        <v>74</v>
      </c>
      <c r="E97">
        <v>29.5</v>
      </c>
      <c r="F97">
        <v>4.7</v>
      </c>
      <c r="G97">
        <v>3.3</v>
      </c>
      <c r="H97">
        <v>15.2</v>
      </c>
      <c r="I97" s="1">
        <v>9000000</v>
      </c>
      <c r="J97" s="2">
        <v>1</v>
      </c>
      <c r="K97" s="1"/>
      <c r="L97" s="1"/>
    </row>
    <row r="98" spans="1:12">
      <c r="A98">
        <v>1</v>
      </c>
      <c r="B98">
        <v>0</v>
      </c>
      <c r="C98">
        <v>0</v>
      </c>
      <c r="D98">
        <v>74</v>
      </c>
      <c r="E98">
        <v>31</v>
      </c>
      <c r="F98">
        <v>7.6</v>
      </c>
      <c r="G98">
        <v>3.1</v>
      </c>
      <c r="H98">
        <v>15.2</v>
      </c>
      <c r="I98" s="1">
        <v>15000000</v>
      </c>
      <c r="J98" s="2">
        <v>1</v>
      </c>
      <c r="K98" s="1"/>
      <c r="L98" s="1"/>
    </row>
    <row r="99" spans="1:12">
      <c r="A99">
        <v>0</v>
      </c>
      <c r="B99">
        <v>0</v>
      </c>
      <c r="C99">
        <v>1</v>
      </c>
      <c r="D99">
        <v>64</v>
      </c>
      <c r="E99">
        <v>29</v>
      </c>
      <c r="F99">
        <v>5.4</v>
      </c>
      <c r="G99">
        <v>6.7</v>
      </c>
      <c r="H99">
        <v>15.2</v>
      </c>
      <c r="I99" s="1">
        <v>3634153</v>
      </c>
      <c r="J99" s="2">
        <v>1</v>
      </c>
      <c r="K99" s="1"/>
      <c r="L99" s="1"/>
    </row>
    <row r="100" spans="1:12">
      <c r="A100">
        <v>1</v>
      </c>
      <c r="B100">
        <v>0</v>
      </c>
      <c r="C100">
        <v>0</v>
      </c>
      <c r="D100">
        <v>64</v>
      </c>
      <c r="E100">
        <v>28.4</v>
      </c>
      <c r="F100">
        <v>8.4</v>
      </c>
      <c r="G100">
        <v>3.3</v>
      </c>
      <c r="H100">
        <v>15.1</v>
      </c>
      <c r="I100" s="1">
        <v>21481481</v>
      </c>
      <c r="J100" s="2">
        <v>0</v>
      </c>
      <c r="K100" s="1"/>
      <c r="L100" s="1"/>
    </row>
    <row r="101" spans="1:12">
      <c r="A101">
        <v>1</v>
      </c>
      <c r="B101">
        <v>1</v>
      </c>
      <c r="C101">
        <v>0</v>
      </c>
      <c r="D101">
        <v>64</v>
      </c>
      <c r="E101">
        <v>29.8</v>
      </c>
      <c r="F101">
        <v>3.8</v>
      </c>
      <c r="G101">
        <v>3.7</v>
      </c>
      <c r="H101">
        <v>15</v>
      </c>
      <c r="I101" s="1">
        <v>7970280</v>
      </c>
      <c r="J101" s="2">
        <v>1</v>
      </c>
      <c r="K101" s="1"/>
      <c r="L101" s="1"/>
    </row>
    <row r="102" spans="1:12">
      <c r="A102">
        <v>0</v>
      </c>
      <c r="B102">
        <v>1</v>
      </c>
      <c r="C102">
        <v>0</v>
      </c>
      <c r="D102">
        <v>11</v>
      </c>
      <c r="E102">
        <v>32.299999999999997</v>
      </c>
      <c r="F102">
        <v>3.4</v>
      </c>
      <c r="G102">
        <v>6.7</v>
      </c>
      <c r="H102">
        <v>15</v>
      </c>
      <c r="I102" s="1">
        <v>117730</v>
      </c>
      <c r="J102" s="2">
        <v>1</v>
      </c>
      <c r="K102" s="1"/>
      <c r="L102" s="1"/>
    </row>
    <row r="103" spans="1:12">
      <c r="A103">
        <v>0</v>
      </c>
      <c r="B103">
        <v>0</v>
      </c>
      <c r="C103">
        <v>1</v>
      </c>
      <c r="D103">
        <v>75</v>
      </c>
      <c r="E103">
        <v>23.5</v>
      </c>
      <c r="F103">
        <v>3.1</v>
      </c>
      <c r="G103">
        <v>1.9</v>
      </c>
      <c r="H103">
        <v>14.9</v>
      </c>
      <c r="I103" s="1">
        <v>2693760</v>
      </c>
      <c r="J103" s="2">
        <v>1</v>
      </c>
      <c r="K103" s="1"/>
      <c r="L103" s="1"/>
    </row>
    <row r="104" spans="1:12">
      <c r="A104">
        <v>0</v>
      </c>
      <c r="B104">
        <v>1</v>
      </c>
      <c r="C104">
        <v>0</v>
      </c>
      <c r="D104">
        <v>69</v>
      </c>
      <c r="E104">
        <v>27.3</v>
      </c>
      <c r="F104">
        <v>3.4</v>
      </c>
      <c r="G104">
        <v>3.6</v>
      </c>
      <c r="H104">
        <v>14.8</v>
      </c>
      <c r="I104" s="1">
        <v>7518518</v>
      </c>
      <c r="J104" s="2">
        <v>1</v>
      </c>
      <c r="K104" s="1"/>
      <c r="L104" s="1"/>
    </row>
    <row r="105" spans="1:12">
      <c r="A105">
        <v>1</v>
      </c>
      <c r="B105">
        <v>0</v>
      </c>
      <c r="C105">
        <v>1</v>
      </c>
      <c r="D105">
        <v>48</v>
      </c>
      <c r="E105">
        <v>29</v>
      </c>
      <c r="F105">
        <v>5.0999999999999996</v>
      </c>
      <c r="G105">
        <v>4.5</v>
      </c>
      <c r="H105">
        <v>14.8</v>
      </c>
      <c r="I105" s="1">
        <v>2966760</v>
      </c>
      <c r="J105" s="2">
        <v>0</v>
      </c>
      <c r="K105" s="1"/>
      <c r="L105" s="1"/>
    </row>
    <row r="106" spans="1:12">
      <c r="A106">
        <v>0</v>
      </c>
      <c r="B106">
        <v>0</v>
      </c>
      <c r="C106">
        <v>1</v>
      </c>
      <c r="D106">
        <v>73</v>
      </c>
      <c r="E106">
        <v>31.7</v>
      </c>
      <c r="F106">
        <v>4.2</v>
      </c>
      <c r="G106">
        <v>2.7</v>
      </c>
      <c r="H106">
        <v>14.8</v>
      </c>
      <c r="I106" s="1">
        <v>24393103</v>
      </c>
      <c r="J106" s="2">
        <v>1</v>
      </c>
      <c r="K106" s="1"/>
      <c r="L106" s="1"/>
    </row>
    <row r="107" spans="1:12">
      <c r="A107">
        <v>0</v>
      </c>
      <c r="B107">
        <v>0</v>
      </c>
      <c r="C107">
        <v>1</v>
      </c>
      <c r="D107">
        <v>54</v>
      </c>
      <c r="E107">
        <v>29.6</v>
      </c>
      <c r="F107">
        <v>4.9000000000000004</v>
      </c>
      <c r="G107">
        <v>2.1</v>
      </c>
      <c r="H107">
        <v>14.6</v>
      </c>
      <c r="I107" s="1">
        <v>4356476</v>
      </c>
      <c r="J107" s="2">
        <v>1</v>
      </c>
      <c r="K107" s="1"/>
      <c r="L107" s="1"/>
    </row>
    <row r="108" spans="1:12">
      <c r="A108">
        <v>1</v>
      </c>
      <c r="B108">
        <v>0</v>
      </c>
      <c r="C108">
        <v>1</v>
      </c>
      <c r="D108">
        <v>82</v>
      </c>
      <c r="E108">
        <v>32.799999999999997</v>
      </c>
      <c r="F108">
        <v>3.8</v>
      </c>
      <c r="G108">
        <v>3.7</v>
      </c>
      <c r="H108">
        <v>14.4</v>
      </c>
      <c r="I108" s="1">
        <v>24900000</v>
      </c>
      <c r="J108" s="2">
        <v>1</v>
      </c>
      <c r="K108" s="1"/>
      <c r="L108" s="1"/>
    </row>
    <row r="109" spans="1:12">
      <c r="A109">
        <v>0</v>
      </c>
      <c r="B109">
        <v>0</v>
      </c>
      <c r="C109">
        <v>0</v>
      </c>
      <c r="D109">
        <v>5</v>
      </c>
      <c r="E109">
        <v>30.8</v>
      </c>
      <c r="F109">
        <v>10.8</v>
      </c>
      <c r="G109">
        <v>3</v>
      </c>
      <c r="H109">
        <v>14.4</v>
      </c>
      <c r="I109" s="1">
        <v>4878938</v>
      </c>
      <c r="J109" s="2">
        <v>1</v>
      </c>
      <c r="K109" s="1"/>
      <c r="L109" s="1"/>
    </row>
    <row r="110" spans="1:12">
      <c r="A110">
        <v>1</v>
      </c>
      <c r="B110">
        <v>1</v>
      </c>
      <c r="C110">
        <v>0</v>
      </c>
      <c r="D110">
        <v>55</v>
      </c>
      <c r="E110">
        <v>24.9</v>
      </c>
      <c r="F110">
        <v>2.5</v>
      </c>
      <c r="G110">
        <v>2.4</v>
      </c>
      <c r="H110">
        <v>14.3</v>
      </c>
      <c r="I110" s="1">
        <v>27678571</v>
      </c>
      <c r="J110" s="2">
        <v>1</v>
      </c>
      <c r="K110" s="1"/>
      <c r="L110" s="1"/>
    </row>
    <row r="111" spans="1:12">
      <c r="A111">
        <v>0</v>
      </c>
      <c r="B111">
        <v>1</v>
      </c>
      <c r="C111">
        <v>0</v>
      </c>
      <c r="D111">
        <v>82</v>
      </c>
      <c r="E111">
        <v>25.8</v>
      </c>
      <c r="F111">
        <v>3.7</v>
      </c>
      <c r="G111">
        <v>3.4</v>
      </c>
      <c r="H111">
        <v>14.3</v>
      </c>
      <c r="I111" s="1">
        <v>7520040</v>
      </c>
      <c r="J111" s="2">
        <v>1</v>
      </c>
      <c r="K111" s="1"/>
      <c r="L111" s="1"/>
    </row>
    <row r="112" spans="1:12">
      <c r="A112">
        <v>1</v>
      </c>
      <c r="B112">
        <v>1</v>
      </c>
      <c r="C112">
        <v>0</v>
      </c>
      <c r="D112">
        <v>11</v>
      </c>
      <c r="E112">
        <v>24.6</v>
      </c>
      <c r="F112">
        <v>2.5</v>
      </c>
      <c r="G112">
        <v>1.7</v>
      </c>
      <c r="H112">
        <v>14.3</v>
      </c>
      <c r="I112" s="1">
        <v>168253</v>
      </c>
      <c r="J112" s="2">
        <v>1</v>
      </c>
      <c r="K112" s="1"/>
      <c r="L112" s="1"/>
    </row>
    <row r="113" spans="1:12">
      <c r="A113">
        <v>0</v>
      </c>
      <c r="B113">
        <v>1</v>
      </c>
      <c r="C113">
        <v>0</v>
      </c>
      <c r="D113">
        <v>30</v>
      </c>
      <c r="E113">
        <v>24.9</v>
      </c>
      <c r="F113">
        <v>2.7</v>
      </c>
      <c r="G113">
        <v>3.7</v>
      </c>
      <c r="H113">
        <v>14.2</v>
      </c>
      <c r="I113" s="1">
        <v>10748040</v>
      </c>
      <c r="J113" s="2">
        <v>1</v>
      </c>
      <c r="K113" s="1"/>
      <c r="L113" s="1"/>
    </row>
    <row r="114" spans="1:12">
      <c r="A114">
        <v>0</v>
      </c>
      <c r="B114">
        <v>0</v>
      </c>
      <c r="C114">
        <v>1</v>
      </c>
      <c r="D114">
        <v>56</v>
      </c>
      <c r="E114">
        <v>31</v>
      </c>
      <c r="F114">
        <v>7</v>
      </c>
      <c r="G114">
        <v>1.8</v>
      </c>
      <c r="H114">
        <v>14.2</v>
      </c>
      <c r="I114" s="1">
        <v>14152174</v>
      </c>
      <c r="J114" s="2">
        <v>1</v>
      </c>
      <c r="K114" s="1"/>
      <c r="L114" s="1"/>
    </row>
    <row r="115" spans="1:12">
      <c r="A115">
        <v>1</v>
      </c>
      <c r="B115">
        <v>0</v>
      </c>
      <c r="C115">
        <v>0</v>
      </c>
      <c r="D115">
        <v>48</v>
      </c>
      <c r="E115">
        <v>30.1</v>
      </c>
      <c r="F115">
        <v>10.6</v>
      </c>
      <c r="G115">
        <v>2.2000000000000002</v>
      </c>
      <c r="H115">
        <v>14.1</v>
      </c>
      <c r="I115" s="1">
        <v>18102000</v>
      </c>
      <c r="J115" s="2">
        <v>0</v>
      </c>
      <c r="K115" s="1"/>
      <c r="L115" s="1"/>
    </row>
    <row r="116" spans="1:12">
      <c r="A116">
        <v>1</v>
      </c>
      <c r="B116">
        <v>1</v>
      </c>
      <c r="C116">
        <v>0</v>
      </c>
      <c r="D116">
        <v>65</v>
      </c>
      <c r="E116">
        <v>27</v>
      </c>
      <c r="F116">
        <v>3.1</v>
      </c>
      <c r="G116">
        <v>5.4</v>
      </c>
      <c r="H116">
        <v>14.1</v>
      </c>
      <c r="I116" s="1">
        <v>8000000</v>
      </c>
      <c r="J116" s="2">
        <v>1</v>
      </c>
      <c r="K116" s="1"/>
      <c r="L116" s="1"/>
    </row>
    <row r="117" spans="1:12">
      <c r="A117">
        <v>1</v>
      </c>
      <c r="B117">
        <v>0</v>
      </c>
      <c r="C117">
        <v>1</v>
      </c>
      <c r="D117">
        <v>50</v>
      </c>
      <c r="E117">
        <v>31.5</v>
      </c>
      <c r="F117">
        <v>5</v>
      </c>
      <c r="G117">
        <v>1.6</v>
      </c>
      <c r="H117">
        <v>14.1</v>
      </c>
      <c r="I117" s="1">
        <v>8382150</v>
      </c>
      <c r="J117" s="2">
        <v>1</v>
      </c>
      <c r="K117" s="1"/>
      <c r="L117" s="1"/>
    </row>
    <row r="118" spans="1:12">
      <c r="A118">
        <v>0</v>
      </c>
      <c r="B118">
        <v>0</v>
      </c>
      <c r="C118">
        <v>1</v>
      </c>
      <c r="D118">
        <v>43</v>
      </c>
      <c r="E118">
        <v>27.9</v>
      </c>
      <c r="F118">
        <v>6.7</v>
      </c>
      <c r="G118">
        <v>2.9</v>
      </c>
      <c r="H118">
        <v>14</v>
      </c>
      <c r="I118" s="1">
        <v>18485916</v>
      </c>
      <c r="J118" s="2">
        <v>0</v>
      </c>
      <c r="K118" s="1"/>
      <c r="L118" s="1"/>
    </row>
    <row r="119" spans="1:12">
      <c r="A119">
        <v>0</v>
      </c>
      <c r="B119">
        <v>0</v>
      </c>
      <c r="C119">
        <v>1</v>
      </c>
      <c r="D119">
        <v>23</v>
      </c>
      <c r="E119">
        <v>34.5</v>
      </c>
      <c r="F119">
        <v>5.7</v>
      </c>
      <c r="G119">
        <v>1.7</v>
      </c>
      <c r="H119">
        <v>14</v>
      </c>
      <c r="I119" s="1">
        <v>11144093</v>
      </c>
      <c r="J119" s="2">
        <v>1</v>
      </c>
      <c r="K119" s="1"/>
      <c r="L119" s="1"/>
    </row>
    <row r="120" spans="1:12">
      <c r="A120">
        <v>0</v>
      </c>
      <c r="B120">
        <v>1</v>
      </c>
      <c r="C120">
        <v>0</v>
      </c>
      <c r="D120">
        <v>67</v>
      </c>
      <c r="E120">
        <v>30.5</v>
      </c>
      <c r="F120">
        <v>4</v>
      </c>
      <c r="G120">
        <v>2.5</v>
      </c>
      <c r="H120">
        <v>13.9</v>
      </c>
      <c r="I120" s="1">
        <v>27000000</v>
      </c>
      <c r="J120" s="2">
        <v>1</v>
      </c>
      <c r="K120" s="1"/>
      <c r="L120" s="1"/>
    </row>
    <row r="121" spans="1:12">
      <c r="A121">
        <v>0</v>
      </c>
      <c r="B121">
        <v>0</v>
      </c>
      <c r="C121">
        <v>1</v>
      </c>
      <c r="D121">
        <v>72</v>
      </c>
      <c r="E121">
        <v>27.6</v>
      </c>
      <c r="F121">
        <v>4.2</v>
      </c>
      <c r="G121">
        <v>1.8</v>
      </c>
      <c r="H121">
        <v>13.8</v>
      </c>
      <c r="I121" s="1">
        <v>9069840</v>
      </c>
      <c r="J121" s="2">
        <v>1</v>
      </c>
      <c r="K121" s="1"/>
      <c r="L121" s="1"/>
    </row>
    <row r="122" spans="1:12">
      <c r="A122">
        <v>1</v>
      </c>
      <c r="B122">
        <v>0</v>
      </c>
      <c r="C122">
        <v>1</v>
      </c>
      <c r="D122">
        <v>45</v>
      </c>
      <c r="E122">
        <v>29.7</v>
      </c>
      <c r="F122">
        <v>4.2</v>
      </c>
      <c r="G122">
        <v>1.9</v>
      </c>
      <c r="H122">
        <v>13.8</v>
      </c>
      <c r="I122" s="1">
        <v>11000000</v>
      </c>
      <c r="J122" s="2">
        <v>1</v>
      </c>
      <c r="K122" s="1"/>
      <c r="L122" s="1"/>
    </row>
    <row r="123" spans="1:12">
      <c r="A123">
        <v>0</v>
      </c>
      <c r="B123">
        <v>1</v>
      </c>
      <c r="C123">
        <v>0</v>
      </c>
      <c r="D123">
        <v>82</v>
      </c>
      <c r="E123">
        <v>28.5</v>
      </c>
      <c r="F123">
        <v>5.0999999999999996</v>
      </c>
      <c r="G123">
        <v>3.7</v>
      </c>
      <c r="H123">
        <v>13.8</v>
      </c>
      <c r="I123" s="1">
        <v>3687960</v>
      </c>
      <c r="J123" s="2">
        <v>1</v>
      </c>
      <c r="K123" s="1"/>
      <c r="L123" s="1"/>
    </row>
    <row r="124" spans="1:12">
      <c r="A124">
        <v>1</v>
      </c>
      <c r="B124">
        <v>1</v>
      </c>
      <c r="C124">
        <v>0</v>
      </c>
      <c r="D124">
        <v>57</v>
      </c>
      <c r="E124">
        <v>27.6</v>
      </c>
      <c r="F124">
        <v>3.9</v>
      </c>
      <c r="G124">
        <v>5.5</v>
      </c>
      <c r="H124">
        <v>13.8</v>
      </c>
      <c r="I124" s="1">
        <v>35000000</v>
      </c>
      <c r="J124" s="2">
        <v>1</v>
      </c>
      <c r="K124" s="1"/>
      <c r="L124" s="1"/>
    </row>
    <row r="125" spans="1:12">
      <c r="A125">
        <v>0</v>
      </c>
      <c r="B125">
        <v>0</v>
      </c>
      <c r="C125">
        <v>1</v>
      </c>
      <c r="D125">
        <v>45</v>
      </c>
      <c r="E125">
        <v>26.1</v>
      </c>
      <c r="F125">
        <v>4.0999999999999996</v>
      </c>
      <c r="G125">
        <v>2</v>
      </c>
      <c r="H125">
        <v>13.7</v>
      </c>
      <c r="I125" s="1">
        <v>23303571</v>
      </c>
      <c r="J125" s="2">
        <v>1</v>
      </c>
      <c r="K125" s="1"/>
      <c r="L125" s="1"/>
    </row>
    <row r="126" spans="1:12">
      <c r="A126">
        <v>1</v>
      </c>
      <c r="B126">
        <v>0</v>
      </c>
      <c r="C126">
        <v>1</v>
      </c>
      <c r="D126">
        <v>67</v>
      </c>
      <c r="E126">
        <v>24.2</v>
      </c>
      <c r="F126">
        <v>6.4</v>
      </c>
      <c r="G126">
        <v>1.6</v>
      </c>
      <c r="H126">
        <v>13.7</v>
      </c>
      <c r="I126" s="1">
        <v>13445754</v>
      </c>
      <c r="J126" s="2">
        <v>1</v>
      </c>
      <c r="K126" s="1"/>
      <c r="L126" s="1"/>
    </row>
    <row r="127" spans="1:12">
      <c r="A127">
        <v>0</v>
      </c>
      <c r="B127">
        <v>0</v>
      </c>
      <c r="C127">
        <v>1</v>
      </c>
      <c r="D127">
        <v>69</v>
      </c>
      <c r="E127">
        <v>27.1</v>
      </c>
      <c r="F127">
        <v>5.3</v>
      </c>
      <c r="G127">
        <v>1</v>
      </c>
      <c r="H127">
        <v>13.6</v>
      </c>
      <c r="I127" s="1">
        <v>26580000</v>
      </c>
      <c r="J127" s="2">
        <v>1</v>
      </c>
      <c r="K127" s="1"/>
      <c r="L127" s="1"/>
    </row>
    <row r="128" spans="1:12">
      <c r="A128">
        <v>0</v>
      </c>
      <c r="B128">
        <v>1</v>
      </c>
      <c r="C128">
        <v>0</v>
      </c>
      <c r="D128">
        <v>62</v>
      </c>
      <c r="E128">
        <v>25.8</v>
      </c>
      <c r="F128">
        <v>5.9</v>
      </c>
      <c r="G128">
        <v>2.8</v>
      </c>
      <c r="H128">
        <v>13.6</v>
      </c>
      <c r="I128" s="1">
        <v>5715120</v>
      </c>
      <c r="J128" s="2">
        <v>1</v>
      </c>
      <c r="K128" s="1"/>
      <c r="L128" s="1"/>
    </row>
    <row r="129" spans="1:12">
      <c r="A129">
        <v>0</v>
      </c>
      <c r="B129">
        <v>0</v>
      </c>
      <c r="C129">
        <v>0</v>
      </c>
      <c r="D129">
        <v>11</v>
      </c>
      <c r="E129">
        <v>25.8</v>
      </c>
      <c r="F129">
        <v>11.1</v>
      </c>
      <c r="G129">
        <v>1.1000000000000001</v>
      </c>
      <c r="H129">
        <v>13.6</v>
      </c>
      <c r="I129" s="1">
        <v>6045000</v>
      </c>
      <c r="J129" s="2">
        <v>0</v>
      </c>
      <c r="K129" s="1"/>
      <c r="L129" s="1"/>
    </row>
    <row r="130" spans="1:12">
      <c r="A130">
        <v>0</v>
      </c>
      <c r="B130">
        <v>1</v>
      </c>
      <c r="C130">
        <v>0</v>
      </c>
      <c r="D130">
        <v>57</v>
      </c>
      <c r="E130">
        <v>25.8</v>
      </c>
      <c r="F130">
        <v>3.3</v>
      </c>
      <c r="G130">
        <v>3.6</v>
      </c>
      <c r="H130">
        <v>13.6</v>
      </c>
      <c r="I130" s="1">
        <v>3000000</v>
      </c>
      <c r="J130" s="2">
        <v>0</v>
      </c>
      <c r="K130" s="1"/>
      <c r="L130" s="1"/>
    </row>
    <row r="131" spans="1:12">
      <c r="A131">
        <v>0</v>
      </c>
      <c r="B131">
        <v>0</v>
      </c>
      <c r="C131">
        <v>0</v>
      </c>
      <c r="D131">
        <v>77</v>
      </c>
      <c r="E131">
        <v>26.1</v>
      </c>
      <c r="F131">
        <v>6.2</v>
      </c>
      <c r="G131">
        <v>2.2000000000000002</v>
      </c>
      <c r="H131">
        <v>13.6</v>
      </c>
      <c r="I131" s="1">
        <v>21551724</v>
      </c>
      <c r="J131" s="2">
        <v>1</v>
      </c>
      <c r="K131" s="1"/>
      <c r="L131" s="1"/>
    </row>
    <row r="132" spans="1:12">
      <c r="A132">
        <v>0</v>
      </c>
      <c r="B132">
        <v>1</v>
      </c>
      <c r="C132">
        <v>0</v>
      </c>
      <c r="D132">
        <v>80</v>
      </c>
      <c r="E132">
        <v>26.6</v>
      </c>
      <c r="F132">
        <v>2.6</v>
      </c>
      <c r="G132">
        <v>1.4</v>
      </c>
      <c r="H132">
        <v>13.5</v>
      </c>
      <c r="I132" s="1">
        <v>3634153</v>
      </c>
      <c r="J132" s="2">
        <v>1</v>
      </c>
      <c r="K132" s="1"/>
      <c r="L132" s="1"/>
    </row>
    <row r="133" spans="1:12">
      <c r="A133">
        <v>0</v>
      </c>
      <c r="B133">
        <v>1</v>
      </c>
      <c r="C133">
        <v>0</v>
      </c>
      <c r="D133">
        <v>82</v>
      </c>
      <c r="E133">
        <v>26.2</v>
      </c>
      <c r="F133">
        <v>2.9</v>
      </c>
      <c r="G133">
        <v>3.4</v>
      </c>
      <c r="H133">
        <v>13.5</v>
      </c>
      <c r="I133" s="1">
        <v>10603560</v>
      </c>
      <c r="J133" s="2">
        <v>1</v>
      </c>
      <c r="K133" s="1"/>
      <c r="L133" s="1"/>
    </row>
    <row r="134" spans="1:12">
      <c r="A134">
        <v>0</v>
      </c>
      <c r="B134">
        <v>0</v>
      </c>
      <c r="C134">
        <v>1</v>
      </c>
      <c r="D134">
        <v>82</v>
      </c>
      <c r="E134">
        <v>33.299999999999997</v>
      </c>
      <c r="F134">
        <v>5.0999999999999996</v>
      </c>
      <c r="G134">
        <v>2.5</v>
      </c>
      <c r="H134">
        <v>13.4</v>
      </c>
      <c r="I134" s="1">
        <v>2221677</v>
      </c>
      <c r="J134" s="2">
        <v>0</v>
      </c>
      <c r="K134" s="1"/>
      <c r="L134" s="1"/>
    </row>
    <row r="135" spans="1:12">
      <c r="A135">
        <v>1</v>
      </c>
      <c r="B135">
        <v>1</v>
      </c>
      <c r="C135">
        <v>0</v>
      </c>
      <c r="D135">
        <v>75</v>
      </c>
      <c r="E135">
        <v>29.4</v>
      </c>
      <c r="F135">
        <v>3.6</v>
      </c>
      <c r="G135">
        <v>3.3</v>
      </c>
      <c r="H135">
        <v>13.4</v>
      </c>
      <c r="I135" s="1">
        <v>8741209</v>
      </c>
      <c r="J135" s="2">
        <v>1</v>
      </c>
      <c r="K135" s="1"/>
      <c r="L135" s="1"/>
    </row>
    <row r="136" spans="1:12">
      <c r="A136">
        <v>0</v>
      </c>
      <c r="B136">
        <v>1</v>
      </c>
      <c r="C136">
        <v>0</v>
      </c>
      <c r="D136">
        <v>39</v>
      </c>
      <c r="E136">
        <v>23.9</v>
      </c>
      <c r="F136">
        <v>2</v>
      </c>
      <c r="G136">
        <v>3.1</v>
      </c>
      <c r="H136">
        <v>13.4</v>
      </c>
      <c r="I136" s="1">
        <v>31848215</v>
      </c>
      <c r="J136" s="2">
        <v>1</v>
      </c>
      <c r="K136" s="1"/>
      <c r="L136" s="1"/>
    </row>
    <row r="137" spans="1:12">
      <c r="A137">
        <v>1</v>
      </c>
      <c r="B137">
        <v>0</v>
      </c>
      <c r="C137">
        <v>1</v>
      </c>
      <c r="D137">
        <v>63</v>
      </c>
      <c r="E137">
        <v>27.7</v>
      </c>
      <c r="F137">
        <v>5.0999999999999996</v>
      </c>
      <c r="G137">
        <v>2.5</v>
      </c>
      <c r="H137">
        <v>13.3</v>
      </c>
      <c r="I137" s="1">
        <v>26634146</v>
      </c>
      <c r="J137" s="2">
        <v>1</v>
      </c>
      <c r="K137" s="1"/>
      <c r="L137" s="1"/>
    </row>
    <row r="138" spans="1:12">
      <c r="A138">
        <v>0</v>
      </c>
      <c r="B138">
        <v>0</v>
      </c>
      <c r="C138">
        <v>1</v>
      </c>
      <c r="D138">
        <v>82</v>
      </c>
      <c r="E138">
        <v>23.3</v>
      </c>
      <c r="F138">
        <v>5.4</v>
      </c>
      <c r="G138">
        <v>1.4</v>
      </c>
      <c r="H138">
        <v>13.2</v>
      </c>
      <c r="I138" s="1">
        <v>17500000</v>
      </c>
      <c r="J138" s="2">
        <v>1</v>
      </c>
      <c r="K138" s="1"/>
      <c r="L138" s="1"/>
    </row>
    <row r="139" spans="1:12">
      <c r="A139">
        <v>1</v>
      </c>
      <c r="B139">
        <v>1</v>
      </c>
      <c r="C139">
        <v>0</v>
      </c>
      <c r="D139">
        <v>66</v>
      </c>
      <c r="E139">
        <v>26.9</v>
      </c>
      <c r="F139">
        <v>5.0999999999999996</v>
      </c>
      <c r="G139">
        <v>2.2000000000000002</v>
      </c>
      <c r="H139">
        <v>13.2</v>
      </c>
      <c r="I139" s="1">
        <v>3492480</v>
      </c>
      <c r="J139" s="2">
        <v>1</v>
      </c>
      <c r="K139" s="1"/>
      <c r="L139" s="1"/>
    </row>
    <row r="140" spans="1:12">
      <c r="A140">
        <v>1</v>
      </c>
      <c r="B140">
        <v>0</v>
      </c>
      <c r="C140">
        <v>1</v>
      </c>
      <c r="D140">
        <v>69</v>
      </c>
      <c r="E140">
        <v>26.2</v>
      </c>
      <c r="F140">
        <v>4.5</v>
      </c>
      <c r="G140">
        <v>2.7</v>
      </c>
      <c r="H140">
        <v>13</v>
      </c>
      <c r="I140" s="1">
        <v>21477272</v>
      </c>
      <c r="J140" s="2">
        <v>1</v>
      </c>
      <c r="K140" s="1"/>
      <c r="L140" s="1"/>
    </row>
    <row r="141" spans="1:12">
      <c r="A141">
        <v>0</v>
      </c>
      <c r="B141">
        <v>1</v>
      </c>
      <c r="C141">
        <v>0</v>
      </c>
      <c r="D141">
        <v>66</v>
      </c>
      <c r="E141">
        <v>22.2</v>
      </c>
      <c r="F141">
        <v>2.9</v>
      </c>
      <c r="G141">
        <v>3.9</v>
      </c>
      <c r="H141">
        <v>13</v>
      </c>
      <c r="I141" s="1">
        <v>2270735</v>
      </c>
      <c r="J141" s="2">
        <v>1</v>
      </c>
      <c r="K141" s="1"/>
      <c r="L141" s="1"/>
    </row>
    <row r="142" spans="1:12">
      <c r="A142">
        <v>1</v>
      </c>
      <c r="B142">
        <v>1</v>
      </c>
      <c r="C142">
        <v>0</v>
      </c>
      <c r="D142">
        <v>52</v>
      </c>
      <c r="E142">
        <v>26.5</v>
      </c>
      <c r="F142">
        <v>2.6</v>
      </c>
      <c r="G142">
        <v>2.4</v>
      </c>
      <c r="H142">
        <v>12.8</v>
      </c>
      <c r="I142" s="1">
        <v>8482144</v>
      </c>
      <c r="J142" s="2">
        <v>1</v>
      </c>
      <c r="K142" s="1"/>
      <c r="L142" s="1"/>
    </row>
    <row r="143" spans="1:12">
      <c r="A143">
        <v>0</v>
      </c>
      <c r="B143">
        <v>1</v>
      </c>
      <c r="C143">
        <v>0</v>
      </c>
      <c r="D143">
        <v>80</v>
      </c>
      <c r="E143">
        <v>28.5</v>
      </c>
      <c r="F143">
        <v>4.0999999999999996</v>
      </c>
      <c r="G143">
        <v>4.5999999999999996</v>
      </c>
      <c r="H143">
        <v>12.7</v>
      </c>
      <c r="I143" s="1">
        <v>2378870</v>
      </c>
      <c r="J143" s="2">
        <v>1</v>
      </c>
      <c r="K143" s="1"/>
      <c r="L143" s="1"/>
    </row>
    <row r="144" spans="1:12">
      <c r="A144">
        <v>0</v>
      </c>
      <c r="B144">
        <v>0</v>
      </c>
      <c r="C144">
        <v>0</v>
      </c>
      <c r="D144">
        <v>72</v>
      </c>
      <c r="E144">
        <v>27.2</v>
      </c>
      <c r="F144">
        <v>8</v>
      </c>
      <c r="G144">
        <v>0.8</v>
      </c>
      <c r="H144">
        <v>12.5</v>
      </c>
      <c r="I144" s="1">
        <v>8104000</v>
      </c>
      <c r="J144" s="2">
        <v>0</v>
      </c>
      <c r="K144" s="1"/>
      <c r="L144" s="1"/>
    </row>
    <row r="145" spans="1:12">
      <c r="A145">
        <v>0</v>
      </c>
      <c r="B145">
        <v>0</v>
      </c>
      <c r="C145">
        <v>1</v>
      </c>
      <c r="D145">
        <v>55</v>
      </c>
      <c r="E145">
        <v>21.4</v>
      </c>
      <c r="F145">
        <v>4.3</v>
      </c>
      <c r="G145">
        <v>1.5</v>
      </c>
      <c r="H145">
        <v>12.5</v>
      </c>
      <c r="I145" s="1">
        <v>2221677</v>
      </c>
      <c r="J145" s="2">
        <v>1</v>
      </c>
      <c r="K145" s="1"/>
      <c r="L145" s="1"/>
    </row>
    <row r="146" spans="1:12">
      <c r="A146">
        <v>0</v>
      </c>
      <c r="B146">
        <v>1</v>
      </c>
      <c r="C146">
        <v>0</v>
      </c>
      <c r="D146">
        <v>62</v>
      </c>
      <c r="E146">
        <v>22</v>
      </c>
      <c r="F146">
        <v>1.9</v>
      </c>
      <c r="G146">
        <v>3</v>
      </c>
      <c r="H146">
        <v>12.5</v>
      </c>
      <c r="I146" s="1">
        <v>18797619</v>
      </c>
      <c r="J146" s="2">
        <v>1</v>
      </c>
      <c r="K146" s="1"/>
      <c r="L146" s="1"/>
    </row>
    <row r="147" spans="1:12">
      <c r="A147">
        <v>0</v>
      </c>
      <c r="B147">
        <v>0</v>
      </c>
      <c r="C147">
        <v>0</v>
      </c>
      <c r="D147">
        <v>74</v>
      </c>
      <c r="E147">
        <v>26.5</v>
      </c>
      <c r="F147">
        <v>7.5</v>
      </c>
      <c r="G147">
        <v>1.4</v>
      </c>
      <c r="H147">
        <v>12.5</v>
      </c>
      <c r="I147" s="1">
        <v>1272870</v>
      </c>
      <c r="J147" s="2">
        <v>0</v>
      </c>
      <c r="K147" s="1"/>
      <c r="L147" s="1"/>
    </row>
    <row r="148" spans="1:12">
      <c r="A148">
        <v>0</v>
      </c>
      <c r="B148">
        <v>1</v>
      </c>
      <c r="C148">
        <v>0</v>
      </c>
      <c r="D148">
        <v>69</v>
      </c>
      <c r="E148">
        <v>26.4</v>
      </c>
      <c r="F148">
        <v>3.2</v>
      </c>
      <c r="G148">
        <v>1.6</v>
      </c>
      <c r="H148">
        <v>12.5</v>
      </c>
      <c r="I148" s="1">
        <v>1955377</v>
      </c>
      <c r="J148" s="2">
        <v>1</v>
      </c>
      <c r="K148" s="1"/>
      <c r="L148" s="1"/>
    </row>
    <row r="149" spans="1:12">
      <c r="A149">
        <v>0</v>
      </c>
      <c r="B149">
        <v>1</v>
      </c>
      <c r="C149">
        <v>0</v>
      </c>
      <c r="D149">
        <v>77</v>
      </c>
      <c r="E149">
        <v>29.1</v>
      </c>
      <c r="F149">
        <v>3.2</v>
      </c>
      <c r="G149">
        <v>2</v>
      </c>
      <c r="H149">
        <v>12.3</v>
      </c>
      <c r="I149" s="1">
        <v>7714286</v>
      </c>
      <c r="J149" s="2">
        <v>1</v>
      </c>
      <c r="K149" s="1"/>
      <c r="L149" s="1"/>
    </row>
    <row r="150" spans="1:12">
      <c r="A150">
        <v>1</v>
      </c>
      <c r="B150">
        <v>0</v>
      </c>
      <c r="C150">
        <v>1</v>
      </c>
      <c r="D150">
        <v>66</v>
      </c>
      <c r="E150">
        <v>27</v>
      </c>
      <c r="F150">
        <v>4.0999999999999996</v>
      </c>
      <c r="G150">
        <v>1.6</v>
      </c>
      <c r="H150">
        <v>12.3</v>
      </c>
      <c r="I150" s="1">
        <v>3398640</v>
      </c>
      <c r="J150" s="2">
        <v>1</v>
      </c>
      <c r="K150" s="1"/>
      <c r="L150" s="1"/>
    </row>
    <row r="151" spans="1:12">
      <c r="A151">
        <v>0</v>
      </c>
      <c r="B151">
        <v>1</v>
      </c>
      <c r="C151">
        <v>0</v>
      </c>
      <c r="D151">
        <v>49</v>
      </c>
      <c r="E151">
        <v>23</v>
      </c>
      <c r="F151">
        <v>3.2</v>
      </c>
      <c r="G151">
        <v>2.6</v>
      </c>
      <c r="H151">
        <v>12.3</v>
      </c>
      <c r="I151" s="1">
        <v>3080921</v>
      </c>
      <c r="J151" s="2">
        <v>1</v>
      </c>
      <c r="K151" s="1"/>
      <c r="L151" s="1"/>
    </row>
    <row r="152" spans="1:12">
      <c r="A152">
        <v>1</v>
      </c>
      <c r="B152">
        <v>0</v>
      </c>
      <c r="C152">
        <v>1</v>
      </c>
      <c r="D152">
        <v>36</v>
      </c>
      <c r="E152">
        <v>23.1</v>
      </c>
      <c r="F152">
        <v>5.6</v>
      </c>
      <c r="G152">
        <v>2.2999999999999998</v>
      </c>
      <c r="H152">
        <v>12.2</v>
      </c>
      <c r="I152" s="1">
        <v>22500000</v>
      </c>
      <c r="J152" s="2">
        <v>0</v>
      </c>
      <c r="K152" s="1"/>
      <c r="L152" s="1"/>
    </row>
    <row r="153" spans="1:12">
      <c r="A153">
        <v>0</v>
      </c>
      <c r="B153">
        <v>1</v>
      </c>
      <c r="C153">
        <v>0</v>
      </c>
      <c r="D153">
        <v>82</v>
      </c>
      <c r="E153">
        <v>30.4</v>
      </c>
      <c r="F153">
        <v>4.0999999999999996</v>
      </c>
      <c r="G153">
        <v>3.8</v>
      </c>
      <c r="H153">
        <v>12.2</v>
      </c>
      <c r="I153" s="1">
        <v>11990000</v>
      </c>
      <c r="J153" s="2">
        <v>1</v>
      </c>
      <c r="K153" s="1"/>
      <c r="L153" s="1"/>
    </row>
    <row r="154" spans="1:12">
      <c r="A154">
        <v>0</v>
      </c>
      <c r="B154">
        <v>0</v>
      </c>
      <c r="C154">
        <v>1</v>
      </c>
      <c r="D154">
        <v>54</v>
      </c>
      <c r="E154">
        <v>30.5</v>
      </c>
      <c r="F154">
        <v>3.8</v>
      </c>
      <c r="G154">
        <v>2.4</v>
      </c>
      <c r="H154">
        <v>12.2</v>
      </c>
      <c r="I154" s="1">
        <v>20543478</v>
      </c>
      <c r="J154" s="2">
        <v>1</v>
      </c>
      <c r="K154" s="1"/>
      <c r="L154" s="1"/>
    </row>
    <row r="155" spans="1:12">
      <c r="A155">
        <v>1</v>
      </c>
      <c r="B155">
        <v>1</v>
      </c>
      <c r="C155">
        <v>0</v>
      </c>
      <c r="D155">
        <v>60</v>
      </c>
      <c r="E155">
        <v>24.1</v>
      </c>
      <c r="F155">
        <v>2.8</v>
      </c>
      <c r="G155">
        <v>2</v>
      </c>
      <c r="H155">
        <v>12.2</v>
      </c>
      <c r="I155" s="1">
        <v>8237640</v>
      </c>
      <c r="J155" s="2">
        <v>1</v>
      </c>
      <c r="K155" s="1"/>
      <c r="L155" s="1"/>
    </row>
    <row r="156" spans="1:12">
      <c r="A156">
        <v>1</v>
      </c>
      <c r="B156">
        <v>1</v>
      </c>
      <c r="C156">
        <v>0</v>
      </c>
      <c r="D156">
        <v>77</v>
      </c>
      <c r="E156">
        <v>27.4</v>
      </c>
      <c r="F156">
        <v>2.7</v>
      </c>
      <c r="G156">
        <v>2.1</v>
      </c>
      <c r="H156">
        <v>12.2</v>
      </c>
      <c r="I156" s="1">
        <v>16834692</v>
      </c>
      <c r="J156" s="2">
        <v>1</v>
      </c>
      <c r="K156" s="1"/>
      <c r="L156" s="1"/>
    </row>
    <row r="157" spans="1:12">
      <c r="A157">
        <v>0</v>
      </c>
      <c r="B157">
        <v>0</v>
      </c>
      <c r="C157">
        <v>0</v>
      </c>
      <c r="D157">
        <v>77</v>
      </c>
      <c r="E157">
        <v>27.2</v>
      </c>
      <c r="F157">
        <v>11.6</v>
      </c>
      <c r="G157">
        <v>2.1</v>
      </c>
      <c r="H157">
        <v>12.1</v>
      </c>
      <c r="I157" s="1">
        <v>7178400</v>
      </c>
      <c r="J157" s="2">
        <v>1</v>
      </c>
      <c r="K157" s="1"/>
      <c r="L157" s="1"/>
    </row>
    <row r="158" spans="1:12">
      <c r="A158">
        <v>0</v>
      </c>
      <c r="B158">
        <v>1</v>
      </c>
      <c r="C158">
        <v>0</v>
      </c>
      <c r="D158">
        <v>60</v>
      </c>
      <c r="E158">
        <v>25.7</v>
      </c>
      <c r="F158">
        <v>3.3</v>
      </c>
      <c r="G158">
        <v>1.6</v>
      </c>
      <c r="H158">
        <v>12.1</v>
      </c>
      <c r="I158" s="1">
        <v>11574075</v>
      </c>
      <c r="J158" s="2">
        <v>1</v>
      </c>
      <c r="K158" s="1"/>
      <c r="L158" s="1"/>
    </row>
    <row r="159" spans="1:12">
      <c r="A159">
        <v>0</v>
      </c>
      <c r="B159">
        <v>1</v>
      </c>
      <c r="C159">
        <v>0</v>
      </c>
      <c r="D159">
        <v>44</v>
      </c>
      <c r="E159">
        <v>31.8</v>
      </c>
      <c r="F159">
        <v>4.8</v>
      </c>
      <c r="G159">
        <v>2.7</v>
      </c>
      <c r="H159">
        <v>12</v>
      </c>
      <c r="I159" s="1">
        <v>4921797</v>
      </c>
      <c r="J159" s="2">
        <v>1</v>
      </c>
      <c r="K159" s="1"/>
      <c r="L159" s="1"/>
    </row>
    <row r="160" spans="1:12">
      <c r="A160">
        <v>1</v>
      </c>
      <c r="B160">
        <v>0</v>
      </c>
      <c r="C160">
        <v>1</v>
      </c>
      <c r="D160">
        <v>66</v>
      </c>
      <c r="E160">
        <v>30.2</v>
      </c>
      <c r="F160">
        <v>7.4</v>
      </c>
      <c r="G160">
        <v>4.8</v>
      </c>
      <c r="H160">
        <v>12</v>
      </c>
      <c r="I160" s="1">
        <v>19472240</v>
      </c>
      <c r="J160" s="2">
        <v>1</v>
      </c>
      <c r="K160" s="1"/>
      <c r="L160" s="1"/>
    </row>
    <row r="161" spans="1:12">
      <c r="A161">
        <v>1</v>
      </c>
      <c r="B161">
        <v>1</v>
      </c>
      <c r="C161">
        <v>0</v>
      </c>
      <c r="D161">
        <v>41</v>
      </c>
      <c r="E161">
        <v>26.3</v>
      </c>
      <c r="F161">
        <v>2.4</v>
      </c>
      <c r="G161">
        <v>2.6</v>
      </c>
      <c r="H161">
        <v>12</v>
      </c>
      <c r="I161" s="1">
        <v>4333333</v>
      </c>
      <c r="J161" s="2">
        <v>1</v>
      </c>
      <c r="K161" s="1"/>
      <c r="L161" s="1"/>
    </row>
    <row r="162" spans="1:12">
      <c r="A162">
        <v>0</v>
      </c>
      <c r="B162">
        <v>1</v>
      </c>
      <c r="C162">
        <v>0</v>
      </c>
      <c r="D162">
        <v>1</v>
      </c>
      <c r="E162">
        <v>12</v>
      </c>
      <c r="F162">
        <v>3</v>
      </c>
      <c r="G162">
        <v>0</v>
      </c>
      <c r="H162">
        <v>12</v>
      </c>
      <c r="I162" s="1">
        <v>365767</v>
      </c>
      <c r="J162" s="2">
        <v>1</v>
      </c>
      <c r="K162" s="1"/>
      <c r="L162" s="1"/>
    </row>
    <row r="163" spans="1:12">
      <c r="A163">
        <v>1</v>
      </c>
      <c r="B163">
        <v>1</v>
      </c>
      <c r="C163">
        <v>0</v>
      </c>
      <c r="D163">
        <v>76</v>
      </c>
      <c r="E163">
        <v>33.200000000000003</v>
      </c>
      <c r="F163">
        <v>6.8</v>
      </c>
      <c r="G163">
        <v>5.9</v>
      </c>
      <c r="H163">
        <v>11.9</v>
      </c>
      <c r="I163" s="1">
        <v>7707709</v>
      </c>
      <c r="J163" s="2">
        <v>0</v>
      </c>
      <c r="K163" s="1"/>
      <c r="L163" s="1"/>
    </row>
    <row r="164" spans="1:12">
      <c r="A164">
        <v>0</v>
      </c>
      <c r="B164">
        <v>0</v>
      </c>
      <c r="C164">
        <v>1</v>
      </c>
      <c r="D164">
        <v>14</v>
      </c>
      <c r="E164">
        <v>20.399999999999999</v>
      </c>
      <c r="F164">
        <v>2.4</v>
      </c>
      <c r="G164">
        <v>1.1000000000000001</v>
      </c>
      <c r="H164">
        <v>11.9</v>
      </c>
      <c r="I164" s="1">
        <v>230433</v>
      </c>
      <c r="J164" s="2">
        <v>1</v>
      </c>
      <c r="K164" s="1"/>
      <c r="L164" s="1"/>
    </row>
    <row r="165" spans="1:12">
      <c r="A165">
        <v>1</v>
      </c>
      <c r="B165">
        <v>0</v>
      </c>
      <c r="C165">
        <v>0</v>
      </c>
      <c r="D165">
        <v>71</v>
      </c>
      <c r="E165">
        <v>26.9</v>
      </c>
      <c r="F165">
        <v>5.3</v>
      </c>
      <c r="G165">
        <v>1.5</v>
      </c>
      <c r="H165">
        <v>11.9</v>
      </c>
      <c r="I165" s="1">
        <v>25318251</v>
      </c>
      <c r="J165" s="2">
        <v>1</v>
      </c>
      <c r="K165" s="1"/>
      <c r="L165" s="1"/>
    </row>
    <row r="166" spans="1:12">
      <c r="A166">
        <v>1</v>
      </c>
      <c r="B166">
        <v>0</v>
      </c>
      <c r="C166">
        <v>0</v>
      </c>
      <c r="D166">
        <v>78</v>
      </c>
      <c r="E166">
        <v>29.3</v>
      </c>
      <c r="F166">
        <v>7.4</v>
      </c>
      <c r="G166">
        <v>2</v>
      </c>
      <c r="H166">
        <v>11.8</v>
      </c>
      <c r="I166" s="1">
        <v>10850000</v>
      </c>
      <c r="J166" s="2">
        <v>1</v>
      </c>
      <c r="K166" s="1"/>
      <c r="L166" s="1"/>
    </row>
    <row r="167" spans="1:12">
      <c r="A167">
        <v>0</v>
      </c>
      <c r="B167">
        <v>1</v>
      </c>
      <c r="C167">
        <v>0</v>
      </c>
      <c r="D167">
        <v>69</v>
      </c>
      <c r="E167">
        <v>22.6</v>
      </c>
      <c r="F167">
        <v>3.4</v>
      </c>
      <c r="G167">
        <v>3.9</v>
      </c>
      <c r="H167">
        <v>11.8</v>
      </c>
      <c r="I167" s="1">
        <v>12370320</v>
      </c>
      <c r="J167" s="2">
        <v>1</v>
      </c>
      <c r="K167" s="1"/>
      <c r="L167" s="1"/>
    </row>
    <row r="168" spans="1:12">
      <c r="A168">
        <v>1</v>
      </c>
      <c r="B168">
        <v>0</v>
      </c>
      <c r="C168">
        <v>1</v>
      </c>
      <c r="D168">
        <v>13</v>
      </c>
      <c r="E168">
        <v>30.9</v>
      </c>
      <c r="F168">
        <v>10.5</v>
      </c>
      <c r="G168">
        <v>1.8</v>
      </c>
      <c r="H168">
        <v>11.8</v>
      </c>
      <c r="I168" s="1">
        <v>160938</v>
      </c>
      <c r="J168" s="2">
        <v>1</v>
      </c>
      <c r="K168" s="1"/>
      <c r="L168" s="1"/>
    </row>
    <row r="169" spans="1:12">
      <c r="A169">
        <v>1</v>
      </c>
      <c r="B169">
        <v>0</v>
      </c>
      <c r="C169">
        <v>0</v>
      </c>
      <c r="D169">
        <v>69</v>
      </c>
      <c r="E169">
        <v>27.8</v>
      </c>
      <c r="F169">
        <v>6.9</v>
      </c>
      <c r="G169">
        <v>3.7</v>
      </c>
      <c r="H169">
        <v>11.7</v>
      </c>
      <c r="I169" s="1">
        <v>25352272</v>
      </c>
      <c r="J169" s="2">
        <v>1</v>
      </c>
      <c r="K169" s="1"/>
      <c r="L169" s="1"/>
    </row>
    <row r="170" spans="1:12">
      <c r="A170">
        <v>0</v>
      </c>
      <c r="B170">
        <v>1</v>
      </c>
      <c r="C170">
        <v>0</v>
      </c>
      <c r="D170">
        <v>59</v>
      </c>
      <c r="E170">
        <v>25.7</v>
      </c>
      <c r="F170">
        <v>2.5</v>
      </c>
      <c r="G170">
        <v>7.2</v>
      </c>
      <c r="H170">
        <v>11.7</v>
      </c>
      <c r="I170" s="1">
        <v>2638200</v>
      </c>
      <c r="J170" s="2">
        <v>1</v>
      </c>
      <c r="K170" s="1"/>
      <c r="L170" s="1"/>
    </row>
    <row r="171" spans="1:12">
      <c r="A171">
        <v>1</v>
      </c>
      <c r="B171">
        <v>1</v>
      </c>
      <c r="C171">
        <v>0</v>
      </c>
      <c r="D171">
        <v>56</v>
      </c>
      <c r="E171">
        <v>26.2</v>
      </c>
      <c r="F171">
        <v>4.3</v>
      </c>
      <c r="G171">
        <v>2.6</v>
      </c>
      <c r="H171">
        <v>11.7</v>
      </c>
      <c r="I171" s="1">
        <v>7275600</v>
      </c>
      <c r="J171" s="2">
        <v>0</v>
      </c>
      <c r="K171" s="1"/>
      <c r="L171" s="1"/>
    </row>
    <row r="172" spans="1:12">
      <c r="A172">
        <v>0</v>
      </c>
      <c r="B172">
        <v>0</v>
      </c>
      <c r="C172">
        <v>0</v>
      </c>
      <c r="D172">
        <v>81</v>
      </c>
      <c r="E172">
        <v>25</v>
      </c>
      <c r="F172">
        <v>7.1</v>
      </c>
      <c r="G172">
        <v>3.7</v>
      </c>
      <c r="H172">
        <v>11.7</v>
      </c>
      <c r="I172" s="1">
        <v>5157960</v>
      </c>
      <c r="J172" s="2">
        <v>1</v>
      </c>
      <c r="K172" s="1"/>
      <c r="L172" s="1"/>
    </row>
    <row r="173" spans="1:12">
      <c r="A173">
        <v>0</v>
      </c>
      <c r="B173">
        <v>0</v>
      </c>
      <c r="C173">
        <v>1</v>
      </c>
      <c r="D173">
        <v>69</v>
      </c>
      <c r="E173">
        <v>21.7</v>
      </c>
      <c r="F173">
        <v>2.1</v>
      </c>
      <c r="G173">
        <v>1.4</v>
      </c>
      <c r="H173">
        <v>11.7</v>
      </c>
      <c r="I173" s="1">
        <v>16666667</v>
      </c>
      <c r="J173" s="2">
        <v>1</v>
      </c>
      <c r="K173" s="1"/>
      <c r="L173" s="1"/>
    </row>
    <row r="174" spans="1:12">
      <c r="A174">
        <v>0</v>
      </c>
      <c r="B174">
        <v>0</v>
      </c>
      <c r="C174">
        <v>0</v>
      </c>
      <c r="D174">
        <v>60</v>
      </c>
      <c r="E174">
        <v>23.6</v>
      </c>
      <c r="F174">
        <v>8</v>
      </c>
      <c r="G174">
        <v>1</v>
      </c>
      <c r="H174">
        <v>11.7</v>
      </c>
      <c r="I174" s="1">
        <v>6276531</v>
      </c>
      <c r="J174" s="2">
        <v>1</v>
      </c>
      <c r="K174" s="1"/>
      <c r="L174" s="1"/>
    </row>
    <row r="175" spans="1:12">
      <c r="A175">
        <v>1</v>
      </c>
      <c r="B175">
        <v>0</v>
      </c>
      <c r="C175">
        <v>1</v>
      </c>
      <c r="D175">
        <v>24</v>
      </c>
      <c r="E175">
        <v>17.7</v>
      </c>
      <c r="F175">
        <v>4.4000000000000004</v>
      </c>
      <c r="G175">
        <v>2.2999999999999998</v>
      </c>
      <c r="H175">
        <v>11.6</v>
      </c>
      <c r="I175" s="1">
        <v>14000000</v>
      </c>
      <c r="J175" s="2">
        <v>1</v>
      </c>
      <c r="K175" s="1"/>
      <c r="L175" s="1"/>
    </row>
    <row r="176" spans="1:12">
      <c r="A176">
        <v>1</v>
      </c>
      <c r="B176">
        <v>0</v>
      </c>
      <c r="C176">
        <v>1</v>
      </c>
      <c r="D176">
        <v>76</v>
      </c>
      <c r="E176">
        <v>25.7</v>
      </c>
      <c r="F176">
        <v>5.0999999999999996</v>
      </c>
      <c r="G176">
        <v>2.5</v>
      </c>
      <c r="H176">
        <v>11.6</v>
      </c>
      <c r="I176" s="1">
        <v>6665520</v>
      </c>
      <c r="J176" s="2">
        <v>1</v>
      </c>
      <c r="K176" s="1"/>
      <c r="L176" s="1"/>
    </row>
    <row r="177" spans="1:12">
      <c r="A177">
        <v>0</v>
      </c>
      <c r="B177">
        <v>0</v>
      </c>
      <c r="C177">
        <v>1</v>
      </c>
      <c r="D177">
        <v>68</v>
      </c>
      <c r="E177">
        <v>28.3</v>
      </c>
      <c r="F177">
        <v>3.3</v>
      </c>
      <c r="G177">
        <v>0.8</v>
      </c>
      <c r="H177">
        <v>11.5</v>
      </c>
      <c r="I177" s="1">
        <v>18259259</v>
      </c>
      <c r="J177" s="2">
        <v>0</v>
      </c>
      <c r="K177" s="1"/>
      <c r="L177" s="1"/>
    </row>
    <row r="178" spans="1:12">
      <c r="A178">
        <v>0</v>
      </c>
      <c r="B178">
        <v>0</v>
      </c>
      <c r="C178">
        <v>0</v>
      </c>
      <c r="D178">
        <v>77</v>
      </c>
      <c r="E178">
        <v>23.4</v>
      </c>
      <c r="F178">
        <v>7.2</v>
      </c>
      <c r="G178">
        <v>2.6</v>
      </c>
      <c r="H178">
        <v>11.4</v>
      </c>
      <c r="I178" s="1">
        <v>3000000</v>
      </c>
      <c r="J178" s="2">
        <v>1</v>
      </c>
      <c r="K178" s="1"/>
      <c r="L178" s="1"/>
    </row>
    <row r="179" spans="1:12">
      <c r="A179">
        <v>1</v>
      </c>
      <c r="B179">
        <v>1</v>
      </c>
      <c r="C179">
        <v>0</v>
      </c>
      <c r="D179">
        <v>70</v>
      </c>
      <c r="E179">
        <v>26.4</v>
      </c>
      <c r="F179">
        <v>3.5</v>
      </c>
      <c r="G179">
        <v>3.4</v>
      </c>
      <c r="H179">
        <v>11.4</v>
      </c>
      <c r="I179" s="1">
        <v>1955377</v>
      </c>
      <c r="J179" s="2">
        <v>0</v>
      </c>
      <c r="K179" s="1"/>
      <c r="L179" s="1"/>
    </row>
    <row r="180" spans="1:12">
      <c r="A180">
        <v>0</v>
      </c>
      <c r="B180">
        <v>1</v>
      </c>
      <c r="C180">
        <v>0</v>
      </c>
      <c r="D180">
        <v>10</v>
      </c>
      <c r="E180">
        <v>21.2</v>
      </c>
      <c r="F180">
        <v>2.2000000000000002</v>
      </c>
      <c r="G180">
        <v>4.7</v>
      </c>
      <c r="H180">
        <v>11.4</v>
      </c>
      <c r="I180" s="1">
        <v>2270735</v>
      </c>
      <c r="J180" s="2">
        <v>1</v>
      </c>
      <c r="K180" s="1"/>
      <c r="L180" s="1"/>
    </row>
    <row r="181" spans="1:12">
      <c r="A181">
        <v>1</v>
      </c>
      <c r="B181">
        <v>0</v>
      </c>
      <c r="C181">
        <v>0</v>
      </c>
      <c r="D181">
        <v>80</v>
      </c>
      <c r="E181">
        <v>21.9</v>
      </c>
      <c r="F181">
        <v>4.9000000000000004</v>
      </c>
      <c r="G181">
        <v>1.9</v>
      </c>
      <c r="H181">
        <v>11.2</v>
      </c>
      <c r="I181" s="1">
        <v>2461463</v>
      </c>
      <c r="J181" s="2">
        <v>0</v>
      </c>
      <c r="K181" s="1"/>
      <c r="L181" s="1"/>
    </row>
    <row r="182" spans="1:12">
      <c r="A182">
        <v>1</v>
      </c>
      <c r="B182">
        <v>0</v>
      </c>
      <c r="C182">
        <v>1</v>
      </c>
      <c r="D182">
        <v>12</v>
      </c>
      <c r="E182">
        <v>24</v>
      </c>
      <c r="F182">
        <v>5.4</v>
      </c>
      <c r="G182">
        <v>2</v>
      </c>
      <c r="H182">
        <v>11.2</v>
      </c>
      <c r="I182" s="1">
        <v>15936452</v>
      </c>
      <c r="J182" s="2">
        <v>1</v>
      </c>
      <c r="K182" s="1"/>
      <c r="L182" s="1"/>
    </row>
    <row r="183" spans="1:12">
      <c r="A183">
        <v>0</v>
      </c>
      <c r="B183">
        <v>0</v>
      </c>
      <c r="C183">
        <v>1</v>
      </c>
      <c r="D183">
        <v>82</v>
      </c>
      <c r="E183">
        <v>27.6</v>
      </c>
      <c r="F183">
        <v>5.8</v>
      </c>
      <c r="G183">
        <v>1.5</v>
      </c>
      <c r="H183">
        <v>11.1</v>
      </c>
      <c r="I183" s="1">
        <v>3000000</v>
      </c>
      <c r="J183" s="2">
        <v>1</v>
      </c>
      <c r="K183" s="1"/>
      <c r="L183" s="1"/>
    </row>
    <row r="184" spans="1:12">
      <c r="A184">
        <v>0</v>
      </c>
      <c r="B184">
        <v>1</v>
      </c>
      <c r="C184">
        <v>0</v>
      </c>
      <c r="D184">
        <v>71</v>
      </c>
      <c r="E184">
        <v>21.2</v>
      </c>
      <c r="F184">
        <v>2.5</v>
      </c>
      <c r="G184">
        <v>1.3</v>
      </c>
      <c r="H184">
        <v>11.1</v>
      </c>
      <c r="I184" s="1">
        <v>12362338</v>
      </c>
      <c r="J184" s="2">
        <v>1</v>
      </c>
      <c r="K184" s="1"/>
      <c r="L184" s="1"/>
    </row>
    <row r="185" spans="1:12">
      <c r="A185">
        <v>0</v>
      </c>
      <c r="B185">
        <v>1</v>
      </c>
      <c r="C185">
        <v>0</v>
      </c>
      <c r="D185">
        <v>72</v>
      </c>
      <c r="E185">
        <v>23.8</v>
      </c>
      <c r="F185">
        <v>2.5</v>
      </c>
      <c r="G185">
        <v>5.6</v>
      </c>
      <c r="H185">
        <v>11.1</v>
      </c>
      <c r="I185" s="1">
        <v>2537989</v>
      </c>
      <c r="J185" s="2">
        <v>1</v>
      </c>
      <c r="K185" s="1"/>
      <c r="L185" s="1"/>
    </row>
    <row r="186" spans="1:12">
      <c r="A186">
        <v>1</v>
      </c>
      <c r="B186">
        <v>0</v>
      </c>
      <c r="C186">
        <v>0</v>
      </c>
      <c r="D186">
        <v>77</v>
      </c>
      <c r="E186">
        <v>22.1</v>
      </c>
      <c r="F186">
        <v>9</v>
      </c>
      <c r="G186">
        <v>0.7</v>
      </c>
      <c r="H186">
        <v>11.1</v>
      </c>
      <c r="I186" s="1">
        <v>4443360</v>
      </c>
      <c r="J186" s="2">
        <v>1</v>
      </c>
      <c r="K186" s="1"/>
      <c r="L186" s="1"/>
    </row>
    <row r="187" spans="1:12">
      <c r="A187">
        <v>1</v>
      </c>
      <c r="B187">
        <v>1</v>
      </c>
      <c r="C187">
        <v>0</v>
      </c>
      <c r="D187">
        <v>4</v>
      </c>
      <c r="E187">
        <v>25.3</v>
      </c>
      <c r="F187">
        <v>6.3</v>
      </c>
      <c r="G187">
        <v>3</v>
      </c>
      <c r="H187">
        <v>11</v>
      </c>
      <c r="I187" s="1">
        <v>136717</v>
      </c>
      <c r="J187" s="2">
        <v>1</v>
      </c>
      <c r="K187" s="1"/>
      <c r="L187" s="1"/>
    </row>
    <row r="188" spans="1:12">
      <c r="A188">
        <v>0</v>
      </c>
      <c r="B188">
        <v>0</v>
      </c>
      <c r="C188">
        <v>0</v>
      </c>
      <c r="D188">
        <v>76</v>
      </c>
      <c r="E188">
        <v>31.3</v>
      </c>
      <c r="F188">
        <v>11.5</v>
      </c>
      <c r="G188">
        <v>1.7</v>
      </c>
      <c r="H188">
        <v>10.9</v>
      </c>
      <c r="I188" s="1">
        <v>35000000</v>
      </c>
      <c r="J188" s="2">
        <v>0</v>
      </c>
      <c r="K188" s="1"/>
      <c r="L188" s="1"/>
    </row>
    <row r="189" spans="1:12">
      <c r="A189">
        <v>0</v>
      </c>
      <c r="B189">
        <v>0</v>
      </c>
      <c r="C189">
        <v>0</v>
      </c>
      <c r="D189">
        <v>41</v>
      </c>
      <c r="E189">
        <v>26.4</v>
      </c>
      <c r="F189">
        <v>10.4</v>
      </c>
      <c r="G189">
        <v>4.8</v>
      </c>
      <c r="H189">
        <v>10.9</v>
      </c>
      <c r="I189" s="1">
        <v>19375000</v>
      </c>
      <c r="J189" s="2">
        <v>0</v>
      </c>
      <c r="K189" s="1"/>
      <c r="L189" s="1"/>
    </row>
    <row r="190" spans="1:12">
      <c r="A190">
        <v>1</v>
      </c>
      <c r="B190">
        <v>1</v>
      </c>
      <c r="C190">
        <v>0</v>
      </c>
      <c r="D190">
        <v>70</v>
      </c>
      <c r="E190">
        <v>24.2</v>
      </c>
      <c r="F190">
        <v>2.7</v>
      </c>
      <c r="G190">
        <v>4.9000000000000004</v>
      </c>
      <c r="H190">
        <v>10.8</v>
      </c>
      <c r="I190" s="1">
        <v>14104000</v>
      </c>
      <c r="J190" s="2">
        <v>0</v>
      </c>
      <c r="K190" s="1"/>
      <c r="L190" s="1"/>
    </row>
    <row r="191" spans="1:12">
      <c r="A191">
        <v>0</v>
      </c>
      <c r="B191">
        <v>0</v>
      </c>
      <c r="C191">
        <v>1</v>
      </c>
      <c r="D191">
        <v>12</v>
      </c>
      <c r="E191">
        <v>25.6</v>
      </c>
      <c r="F191">
        <v>4.2</v>
      </c>
      <c r="G191">
        <v>1</v>
      </c>
      <c r="H191">
        <v>10.8</v>
      </c>
      <c r="I191" s="1">
        <v>73153</v>
      </c>
      <c r="J191" s="2">
        <v>1</v>
      </c>
      <c r="K191" s="1"/>
      <c r="L191" s="1"/>
    </row>
    <row r="192" spans="1:12">
      <c r="A192">
        <v>0</v>
      </c>
      <c r="B192">
        <v>1</v>
      </c>
      <c r="C192">
        <v>0</v>
      </c>
      <c r="D192">
        <v>32</v>
      </c>
      <c r="E192">
        <v>26.4</v>
      </c>
      <c r="F192">
        <v>3</v>
      </c>
      <c r="G192">
        <v>1.3</v>
      </c>
      <c r="H192">
        <v>10.8</v>
      </c>
      <c r="I192" s="1">
        <v>75000</v>
      </c>
      <c r="J192" s="2">
        <v>1</v>
      </c>
      <c r="K192" s="1"/>
      <c r="L192" s="1"/>
    </row>
    <row r="193" spans="1:12">
      <c r="A193">
        <v>1</v>
      </c>
      <c r="B193">
        <v>1</v>
      </c>
      <c r="C193">
        <v>0</v>
      </c>
      <c r="D193">
        <v>82</v>
      </c>
      <c r="E193">
        <v>27.7</v>
      </c>
      <c r="F193">
        <v>3.4</v>
      </c>
      <c r="G193">
        <v>4.5999999999999996</v>
      </c>
      <c r="H193">
        <v>10.7</v>
      </c>
      <c r="I193" s="1">
        <v>4677600</v>
      </c>
      <c r="J193" s="2">
        <v>1</v>
      </c>
      <c r="K193" s="1"/>
      <c r="L193" s="1"/>
    </row>
    <row r="194" spans="1:12">
      <c r="A194">
        <v>1</v>
      </c>
      <c r="B194">
        <v>0</v>
      </c>
      <c r="C194">
        <v>0</v>
      </c>
      <c r="D194">
        <v>46</v>
      </c>
      <c r="E194">
        <v>25</v>
      </c>
      <c r="F194">
        <v>7</v>
      </c>
      <c r="G194">
        <v>2</v>
      </c>
      <c r="H194">
        <v>10.7</v>
      </c>
      <c r="I194" s="1">
        <v>19500000</v>
      </c>
      <c r="J194" s="2">
        <v>0</v>
      </c>
      <c r="K194" s="1"/>
      <c r="L194" s="1"/>
    </row>
    <row r="195" spans="1:12">
      <c r="A195">
        <v>1</v>
      </c>
      <c r="B195">
        <v>0</v>
      </c>
      <c r="C195">
        <v>0</v>
      </c>
      <c r="D195">
        <v>68</v>
      </c>
      <c r="E195">
        <v>22.1</v>
      </c>
      <c r="F195">
        <v>5.7</v>
      </c>
      <c r="G195">
        <v>1.7</v>
      </c>
      <c r="H195">
        <v>10.6</v>
      </c>
      <c r="I195" s="1">
        <v>2461463</v>
      </c>
      <c r="J195" s="2">
        <v>0</v>
      </c>
      <c r="K195" s="1"/>
      <c r="L195" s="1"/>
    </row>
    <row r="196" spans="1:12">
      <c r="A196">
        <v>0</v>
      </c>
      <c r="B196">
        <v>0</v>
      </c>
      <c r="C196">
        <v>1</v>
      </c>
      <c r="D196">
        <v>60</v>
      </c>
      <c r="E196">
        <v>20</v>
      </c>
      <c r="F196">
        <v>6.1</v>
      </c>
      <c r="G196">
        <v>1.4</v>
      </c>
      <c r="H196">
        <v>10.5</v>
      </c>
      <c r="I196" s="1">
        <v>3080921</v>
      </c>
      <c r="J196" s="2">
        <v>1</v>
      </c>
      <c r="K196" s="1"/>
      <c r="L196" s="1"/>
    </row>
    <row r="197" spans="1:12">
      <c r="A197">
        <v>0</v>
      </c>
      <c r="B197">
        <v>0</v>
      </c>
      <c r="C197">
        <v>1</v>
      </c>
      <c r="D197">
        <v>60</v>
      </c>
      <c r="E197">
        <v>25.8</v>
      </c>
      <c r="F197">
        <v>6.3</v>
      </c>
      <c r="G197">
        <v>1.5</v>
      </c>
      <c r="H197">
        <v>10.5</v>
      </c>
      <c r="I197" s="1">
        <v>5675766</v>
      </c>
      <c r="J197" s="2">
        <v>1</v>
      </c>
      <c r="K197" s="1"/>
      <c r="L197" s="1"/>
    </row>
    <row r="198" spans="1:12">
      <c r="A198">
        <v>0</v>
      </c>
      <c r="B198">
        <v>1</v>
      </c>
      <c r="C198">
        <v>0</v>
      </c>
      <c r="D198">
        <v>8</v>
      </c>
      <c r="E198">
        <v>30.1</v>
      </c>
      <c r="F198">
        <v>3.1</v>
      </c>
      <c r="G198">
        <v>2.4</v>
      </c>
      <c r="H198">
        <v>10.4</v>
      </c>
      <c r="I198" s="1">
        <v>636435</v>
      </c>
      <c r="J198" s="2">
        <v>0</v>
      </c>
      <c r="K198" s="1"/>
      <c r="L198" s="1"/>
    </row>
    <row r="199" spans="1:12">
      <c r="A199">
        <v>1</v>
      </c>
      <c r="B199">
        <v>1</v>
      </c>
      <c r="C199">
        <v>0</v>
      </c>
      <c r="D199">
        <v>78</v>
      </c>
      <c r="E199">
        <v>29.1</v>
      </c>
      <c r="F199">
        <v>2.7</v>
      </c>
      <c r="G199">
        <v>1.9</v>
      </c>
      <c r="H199">
        <v>10.4</v>
      </c>
      <c r="I199" s="1">
        <v>2301587</v>
      </c>
      <c r="J199" s="2">
        <v>1</v>
      </c>
      <c r="K199" s="1"/>
      <c r="L199" s="1"/>
    </row>
    <row r="200" spans="1:12">
      <c r="A200">
        <v>0</v>
      </c>
      <c r="B200">
        <v>1</v>
      </c>
      <c r="C200">
        <v>0</v>
      </c>
      <c r="D200">
        <v>49</v>
      </c>
      <c r="E200">
        <v>20.7</v>
      </c>
      <c r="F200">
        <v>2.2999999999999998</v>
      </c>
      <c r="G200">
        <v>2.5</v>
      </c>
      <c r="H200">
        <v>10.4</v>
      </c>
      <c r="I200" s="1">
        <v>85300</v>
      </c>
      <c r="J200" s="2">
        <v>1</v>
      </c>
      <c r="K200" s="1"/>
      <c r="L200" s="1"/>
    </row>
    <row r="201" spans="1:12">
      <c r="A201">
        <v>0</v>
      </c>
      <c r="B201">
        <v>1</v>
      </c>
      <c r="C201">
        <v>0</v>
      </c>
      <c r="D201">
        <v>7</v>
      </c>
      <c r="E201">
        <v>32</v>
      </c>
      <c r="F201">
        <v>5.4</v>
      </c>
      <c r="G201">
        <v>2.6</v>
      </c>
      <c r="H201">
        <v>10.4</v>
      </c>
      <c r="I201" s="1">
        <v>73153</v>
      </c>
      <c r="J201" s="2">
        <v>1</v>
      </c>
      <c r="K201" s="1"/>
      <c r="L201" s="1"/>
    </row>
    <row r="202" spans="1:12">
      <c r="A202">
        <v>1</v>
      </c>
      <c r="B202">
        <v>1</v>
      </c>
      <c r="C202">
        <v>0</v>
      </c>
      <c r="D202">
        <v>52</v>
      </c>
      <c r="E202">
        <v>25.2</v>
      </c>
      <c r="F202">
        <v>3.2</v>
      </c>
      <c r="G202">
        <v>3.3</v>
      </c>
      <c r="H202">
        <v>10.3</v>
      </c>
      <c r="I202" s="1">
        <v>6889200</v>
      </c>
      <c r="J202" s="2">
        <v>0</v>
      </c>
      <c r="K202" s="1"/>
      <c r="L202" s="1"/>
    </row>
    <row r="203" spans="1:12">
      <c r="A203">
        <v>0</v>
      </c>
      <c r="B203">
        <v>1</v>
      </c>
      <c r="C203">
        <v>0</v>
      </c>
      <c r="D203">
        <v>3</v>
      </c>
      <c r="E203">
        <v>20</v>
      </c>
      <c r="F203">
        <v>1.7</v>
      </c>
      <c r="G203">
        <v>0.3</v>
      </c>
      <c r="H203">
        <v>10.3</v>
      </c>
      <c r="I203" s="1">
        <v>165197</v>
      </c>
      <c r="J203" s="2">
        <v>1</v>
      </c>
      <c r="K203" s="1"/>
      <c r="L203" s="1"/>
    </row>
    <row r="204" spans="1:12">
      <c r="A204">
        <v>1</v>
      </c>
      <c r="B204">
        <v>0</v>
      </c>
      <c r="C204">
        <v>1</v>
      </c>
      <c r="D204">
        <v>74</v>
      </c>
      <c r="E204">
        <v>22.1</v>
      </c>
      <c r="F204">
        <v>2.9</v>
      </c>
      <c r="G204">
        <v>2</v>
      </c>
      <c r="H204">
        <v>10.3</v>
      </c>
      <c r="I204" s="1">
        <v>3512520</v>
      </c>
      <c r="J204" s="2">
        <v>0</v>
      </c>
      <c r="K204" s="1"/>
      <c r="L204" s="1"/>
    </row>
    <row r="205" spans="1:12">
      <c r="A205">
        <v>0</v>
      </c>
      <c r="B205">
        <v>0</v>
      </c>
      <c r="C205">
        <v>1</v>
      </c>
      <c r="D205">
        <v>63</v>
      </c>
      <c r="E205">
        <v>22.8</v>
      </c>
      <c r="F205">
        <v>3.7</v>
      </c>
      <c r="G205">
        <v>2.8</v>
      </c>
      <c r="H205">
        <v>10.199999999999999</v>
      </c>
      <c r="I205" s="1">
        <v>33296296</v>
      </c>
      <c r="J205" s="2">
        <v>1</v>
      </c>
      <c r="K205" s="1"/>
      <c r="L205" s="1"/>
    </row>
    <row r="206" spans="1:12">
      <c r="A206">
        <v>1</v>
      </c>
      <c r="B206">
        <v>0</v>
      </c>
      <c r="C206">
        <v>0</v>
      </c>
      <c r="D206">
        <v>76</v>
      </c>
      <c r="E206">
        <v>25.3</v>
      </c>
      <c r="F206">
        <v>8.4</v>
      </c>
      <c r="G206">
        <v>1.7</v>
      </c>
      <c r="H206">
        <v>10.199999999999999</v>
      </c>
      <c r="I206" s="1">
        <v>2349578</v>
      </c>
      <c r="J206" s="2">
        <v>0</v>
      </c>
      <c r="K206" s="1"/>
      <c r="L206" s="1"/>
    </row>
    <row r="207" spans="1:12">
      <c r="A207">
        <v>1</v>
      </c>
      <c r="B207">
        <v>1</v>
      </c>
      <c r="C207">
        <v>0</v>
      </c>
      <c r="D207">
        <v>26</v>
      </c>
      <c r="E207">
        <v>19</v>
      </c>
      <c r="F207">
        <v>2.2999999999999998</v>
      </c>
      <c r="G207">
        <v>4</v>
      </c>
      <c r="H207">
        <v>10.199999999999999</v>
      </c>
      <c r="I207" s="1">
        <v>5685000</v>
      </c>
      <c r="J207" s="2">
        <v>1</v>
      </c>
      <c r="K207" s="1"/>
      <c r="L207" s="1"/>
    </row>
    <row r="208" spans="1:12">
      <c r="A208">
        <v>1</v>
      </c>
      <c r="B208">
        <v>0</v>
      </c>
      <c r="C208">
        <v>0</v>
      </c>
      <c r="D208">
        <v>53</v>
      </c>
      <c r="E208">
        <v>20.7</v>
      </c>
      <c r="F208">
        <v>6.7</v>
      </c>
      <c r="G208">
        <v>1.2</v>
      </c>
      <c r="H208">
        <v>10.199999999999999</v>
      </c>
      <c r="I208" s="1">
        <v>9000000</v>
      </c>
      <c r="J208" s="2">
        <v>1</v>
      </c>
      <c r="K208" s="1"/>
      <c r="L208" s="1"/>
    </row>
    <row r="209" spans="1:12">
      <c r="A209">
        <v>1</v>
      </c>
      <c r="B209">
        <v>0</v>
      </c>
      <c r="C209">
        <v>1</v>
      </c>
      <c r="D209">
        <v>56</v>
      </c>
      <c r="E209">
        <v>22.9</v>
      </c>
      <c r="F209">
        <v>2.4</v>
      </c>
      <c r="G209">
        <v>1.1000000000000001</v>
      </c>
      <c r="H209">
        <v>10.199999999999999</v>
      </c>
      <c r="I209" s="1">
        <v>6250000</v>
      </c>
      <c r="J209" s="2">
        <v>1</v>
      </c>
      <c r="K209" s="1"/>
      <c r="L209" s="1"/>
    </row>
    <row r="210" spans="1:12">
      <c r="A210">
        <v>0</v>
      </c>
      <c r="B210">
        <v>0</v>
      </c>
      <c r="C210">
        <v>0</v>
      </c>
      <c r="D210">
        <v>73</v>
      </c>
      <c r="E210">
        <v>23.9</v>
      </c>
      <c r="F210">
        <v>6.7</v>
      </c>
      <c r="G210">
        <v>1.4</v>
      </c>
      <c r="H210">
        <v>10.1</v>
      </c>
      <c r="I210" s="1">
        <v>2453285</v>
      </c>
      <c r="J210" s="2">
        <v>0</v>
      </c>
      <c r="K210" s="1"/>
      <c r="L210" s="1"/>
    </row>
    <row r="211" spans="1:12">
      <c r="A211">
        <v>0</v>
      </c>
      <c r="B211">
        <v>0</v>
      </c>
      <c r="C211">
        <v>1</v>
      </c>
      <c r="D211">
        <v>50</v>
      </c>
      <c r="E211">
        <v>27</v>
      </c>
      <c r="F211">
        <v>3.5</v>
      </c>
      <c r="G211">
        <v>1.4</v>
      </c>
      <c r="H211">
        <v>10.1</v>
      </c>
      <c r="I211" s="1">
        <v>10000000</v>
      </c>
      <c r="J211" s="2">
        <v>1</v>
      </c>
      <c r="K211" s="1"/>
      <c r="L211" s="1"/>
    </row>
    <row r="212" spans="1:12">
      <c r="A212">
        <v>1</v>
      </c>
      <c r="B212">
        <v>0</v>
      </c>
      <c r="C212">
        <v>1</v>
      </c>
      <c r="D212">
        <v>69</v>
      </c>
      <c r="E212">
        <v>22.4</v>
      </c>
      <c r="F212">
        <v>3.5</v>
      </c>
      <c r="G212">
        <v>2.6</v>
      </c>
      <c r="H212">
        <v>10</v>
      </c>
      <c r="I212" s="1">
        <v>17991071</v>
      </c>
      <c r="J212" s="2">
        <v>1</v>
      </c>
      <c r="K212" s="1"/>
      <c r="L212" s="1"/>
    </row>
    <row r="213" spans="1:12">
      <c r="A213">
        <v>0</v>
      </c>
      <c r="B213">
        <v>0</v>
      </c>
      <c r="C213">
        <v>1</v>
      </c>
      <c r="D213">
        <v>60</v>
      </c>
      <c r="E213">
        <v>22.1</v>
      </c>
      <c r="F213">
        <v>3</v>
      </c>
      <c r="G213">
        <v>2.2999999999999998</v>
      </c>
      <c r="H213">
        <v>10</v>
      </c>
      <c r="I213" s="1">
        <v>712637</v>
      </c>
      <c r="J213" s="2">
        <v>1</v>
      </c>
      <c r="K213" s="1"/>
      <c r="L213" s="1"/>
    </row>
    <row r="214" spans="1:12">
      <c r="A214">
        <v>0</v>
      </c>
      <c r="B214">
        <v>1</v>
      </c>
      <c r="C214">
        <v>0</v>
      </c>
      <c r="D214">
        <v>6</v>
      </c>
      <c r="E214">
        <v>36.200000000000003</v>
      </c>
      <c r="F214">
        <v>3.5</v>
      </c>
      <c r="G214">
        <v>1</v>
      </c>
      <c r="H214">
        <v>10</v>
      </c>
      <c r="I214" s="1">
        <v>73153</v>
      </c>
      <c r="J214" s="2">
        <v>1</v>
      </c>
      <c r="K214" s="1"/>
      <c r="L214" s="1"/>
    </row>
    <row r="215" spans="1:12">
      <c r="A215">
        <v>0</v>
      </c>
      <c r="B215">
        <v>0</v>
      </c>
      <c r="C215">
        <v>1</v>
      </c>
      <c r="D215">
        <v>53</v>
      </c>
      <c r="E215">
        <v>18.600000000000001</v>
      </c>
      <c r="F215">
        <v>3.5</v>
      </c>
      <c r="G215">
        <v>1</v>
      </c>
      <c r="H215">
        <v>10</v>
      </c>
      <c r="I215" s="1">
        <v>527879</v>
      </c>
      <c r="J215" s="2">
        <v>0</v>
      </c>
      <c r="K215" s="1"/>
      <c r="L215" s="1"/>
    </row>
    <row r="216" spans="1:12">
      <c r="A216">
        <v>1</v>
      </c>
      <c r="B216">
        <v>0</v>
      </c>
      <c r="C216">
        <v>0</v>
      </c>
      <c r="D216">
        <v>58</v>
      </c>
      <c r="E216">
        <v>22.7</v>
      </c>
      <c r="F216">
        <v>5</v>
      </c>
      <c r="G216">
        <v>1.1000000000000001</v>
      </c>
      <c r="H216">
        <v>10</v>
      </c>
      <c r="I216" s="1">
        <v>15000000</v>
      </c>
      <c r="J216" s="2">
        <v>1</v>
      </c>
      <c r="K216" s="1"/>
      <c r="L216" s="1"/>
    </row>
    <row r="217" spans="1:12">
      <c r="A217">
        <v>0</v>
      </c>
      <c r="B217">
        <v>0</v>
      </c>
      <c r="C217">
        <v>1</v>
      </c>
      <c r="D217">
        <v>77</v>
      </c>
      <c r="E217">
        <v>25.8</v>
      </c>
      <c r="F217">
        <v>2.8</v>
      </c>
      <c r="G217">
        <v>1.9</v>
      </c>
      <c r="H217">
        <v>9.9</v>
      </c>
      <c r="I217" s="1">
        <v>19000000</v>
      </c>
      <c r="J217" s="2">
        <v>1</v>
      </c>
      <c r="K217" s="1"/>
      <c r="L217" s="1"/>
    </row>
    <row r="218" spans="1:12">
      <c r="A218">
        <v>1</v>
      </c>
      <c r="B218">
        <v>0</v>
      </c>
      <c r="C218">
        <v>1</v>
      </c>
      <c r="D218">
        <v>77</v>
      </c>
      <c r="E218">
        <v>24.7</v>
      </c>
      <c r="F218">
        <v>3.7</v>
      </c>
      <c r="G218">
        <v>1.6</v>
      </c>
      <c r="H218">
        <v>9.9</v>
      </c>
      <c r="I218" s="1">
        <v>3809520</v>
      </c>
      <c r="J218" s="2">
        <v>0</v>
      </c>
      <c r="K218" s="1"/>
      <c r="L218" s="1"/>
    </row>
    <row r="219" spans="1:12">
      <c r="A219">
        <v>1</v>
      </c>
      <c r="B219">
        <v>0</v>
      </c>
      <c r="C219">
        <v>1</v>
      </c>
      <c r="D219">
        <v>73</v>
      </c>
      <c r="E219">
        <v>26</v>
      </c>
      <c r="F219">
        <v>5.7</v>
      </c>
      <c r="G219">
        <v>3.1</v>
      </c>
      <c r="H219">
        <v>9.9</v>
      </c>
      <c r="I219" s="1">
        <v>8775000</v>
      </c>
      <c r="J219" s="2">
        <v>1</v>
      </c>
      <c r="K219" s="1"/>
      <c r="L219" s="1"/>
    </row>
    <row r="220" spans="1:12">
      <c r="A220">
        <v>0</v>
      </c>
      <c r="B220">
        <v>0</v>
      </c>
      <c r="C220">
        <v>1</v>
      </c>
      <c r="D220">
        <v>78</v>
      </c>
      <c r="E220">
        <v>28.4</v>
      </c>
      <c r="F220">
        <v>4.8</v>
      </c>
      <c r="G220">
        <v>2.7</v>
      </c>
      <c r="H220">
        <v>9.8000000000000007</v>
      </c>
      <c r="I220" s="1">
        <v>10125000</v>
      </c>
      <c r="J220" s="2">
        <v>1</v>
      </c>
      <c r="K220" s="1"/>
      <c r="L220" s="1"/>
    </row>
    <row r="221" spans="1:12">
      <c r="A221">
        <v>1</v>
      </c>
      <c r="B221">
        <v>0</v>
      </c>
      <c r="C221">
        <v>0</v>
      </c>
      <c r="D221">
        <v>10</v>
      </c>
      <c r="E221">
        <v>18.399999999999999</v>
      </c>
      <c r="F221">
        <v>5.6</v>
      </c>
      <c r="G221">
        <v>1.5</v>
      </c>
      <c r="H221">
        <v>9.6999999999999993</v>
      </c>
      <c r="I221" s="1">
        <v>18080496</v>
      </c>
      <c r="J221" s="2">
        <v>1</v>
      </c>
      <c r="K221" s="1"/>
      <c r="L221" s="1"/>
    </row>
    <row r="222" spans="1:12">
      <c r="A222">
        <v>1</v>
      </c>
      <c r="B222">
        <v>0</v>
      </c>
      <c r="C222">
        <v>0</v>
      </c>
      <c r="D222">
        <v>47</v>
      </c>
      <c r="E222">
        <v>19.3</v>
      </c>
      <c r="F222">
        <v>5</v>
      </c>
      <c r="G222">
        <v>1.5</v>
      </c>
      <c r="H222">
        <v>9.6999999999999993</v>
      </c>
      <c r="I222" s="1">
        <v>1527805</v>
      </c>
      <c r="J222" s="2">
        <v>1</v>
      </c>
      <c r="K222" s="1"/>
      <c r="L222" s="1"/>
    </row>
    <row r="223" spans="1:12">
      <c r="A223">
        <v>0</v>
      </c>
      <c r="B223">
        <v>1</v>
      </c>
      <c r="C223">
        <v>0</v>
      </c>
      <c r="D223">
        <v>41</v>
      </c>
      <c r="E223">
        <v>20.2</v>
      </c>
      <c r="F223">
        <v>3.1</v>
      </c>
      <c r="G223">
        <v>3.7</v>
      </c>
      <c r="H223">
        <v>9.6999999999999993</v>
      </c>
      <c r="I223" s="1">
        <v>636435</v>
      </c>
      <c r="J223" s="2">
        <v>1</v>
      </c>
      <c r="K223" s="1"/>
      <c r="L223" s="1"/>
    </row>
    <row r="224" spans="1:12">
      <c r="A224">
        <v>1</v>
      </c>
      <c r="B224">
        <v>0</v>
      </c>
      <c r="C224">
        <v>1</v>
      </c>
      <c r="D224">
        <v>67</v>
      </c>
      <c r="E224">
        <v>22.4</v>
      </c>
      <c r="F224">
        <v>3.8</v>
      </c>
      <c r="G224">
        <v>1.1000000000000001</v>
      </c>
      <c r="H224">
        <v>9.6</v>
      </c>
      <c r="I224" s="1">
        <v>13197720</v>
      </c>
      <c r="J224" s="2">
        <v>0</v>
      </c>
      <c r="K224" s="1"/>
      <c r="L224" s="1"/>
    </row>
    <row r="225" spans="1:12">
      <c r="A225">
        <v>0</v>
      </c>
      <c r="B225">
        <v>0</v>
      </c>
      <c r="C225">
        <v>0</v>
      </c>
      <c r="D225">
        <v>55</v>
      </c>
      <c r="E225">
        <v>21.7</v>
      </c>
      <c r="F225">
        <v>6.9</v>
      </c>
      <c r="G225">
        <v>1.1000000000000001</v>
      </c>
      <c r="H225">
        <v>9.5</v>
      </c>
      <c r="I225" s="1">
        <v>14386320</v>
      </c>
      <c r="J225" s="2">
        <v>1</v>
      </c>
      <c r="K225" s="1"/>
      <c r="L225" s="1"/>
    </row>
    <row r="226" spans="1:12">
      <c r="A226">
        <v>1</v>
      </c>
      <c r="B226">
        <v>0</v>
      </c>
      <c r="C226">
        <v>0</v>
      </c>
      <c r="D226">
        <v>82</v>
      </c>
      <c r="E226">
        <v>21</v>
      </c>
      <c r="F226">
        <v>4</v>
      </c>
      <c r="G226">
        <v>1.5</v>
      </c>
      <c r="H226">
        <v>9.5</v>
      </c>
      <c r="I226" s="1">
        <v>2349578</v>
      </c>
      <c r="J226" s="2">
        <v>1</v>
      </c>
      <c r="K226" s="1"/>
      <c r="L226" s="1"/>
    </row>
    <row r="227" spans="1:12">
      <c r="A227">
        <v>1</v>
      </c>
      <c r="B227">
        <v>1</v>
      </c>
      <c r="C227">
        <v>0</v>
      </c>
      <c r="D227">
        <v>56</v>
      </c>
      <c r="E227">
        <v>17.2</v>
      </c>
      <c r="F227">
        <v>2.2000000000000002</v>
      </c>
      <c r="G227">
        <v>5.0999999999999996</v>
      </c>
      <c r="H227">
        <v>9.4</v>
      </c>
      <c r="I227" s="1">
        <v>10200000</v>
      </c>
      <c r="J227" s="2">
        <v>1</v>
      </c>
      <c r="K227" s="1"/>
      <c r="L227" s="1"/>
    </row>
    <row r="228" spans="1:12">
      <c r="A228">
        <v>0</v>
      </c>
      <c r="B228">
        <v>0</v>
      </c>
      <c r="C228">
        <v>1</v>
      </c>
      <c r="D228">
        <v>50</v>
      </c>
      <c r="E228">
        <v>23.1</v>
      </c>
      <c r="F228">
        <v>2.5</v>
      </c>
      <c r="G228">
        <v>1.9</v>
      </c>
      <c r="H228">
        <v>9.4</v>
      </c>
      <c r="I228" s="1">
        <v>3675000</v>
      </c>
      <c r="J228" s="2">
        <v>0</v>
      </c>
      <c r="K228" s="1"/>
      <c r="L228" s="1"/>
    </row>
    <row r="229" spans="1:12">
      <c r="A229">
        <v>0</v>
      </c>
      <c r="B229">
        <v>1</v>
      </c>
      <c r="C229">
        <v>0</v>
      </c>
      <c r="D229">
        <v>65</v>
      </c>
      <c r="E229">
        <v>21.8</v>
      </c>
      <c r="F229">
        <v>3.1</v>
      </c>
      <c r="G229">
        <v>1.7</v>
      </c>
      <c r="H229">
        <v>9.4</v>
      </c>
      <c r="I229" s="1">
        <v>9672897</v>
      </c>
      <c r="J229" s="2">
        <v>1</v>
      </c>
      <c r="K229" s="1"/>
      <c r="L229" s="1"/>
    </row>
    <row r="230" spans="1:12">
      <c r="A230">
        <v>1</v>
      </c>
      <c r="B230">
        <v>1</v>
      </c>
      <c r="C230">
        <v>0</v>
      </c>
      <c r="D230">
        <v>72</v>
      </c>
      <c r="E230">
        <v>20.2</v>
      </c>
      <c r="F230">
        <v>2.2999999999999998</v>
      </c>
      <c r="G230">
        <v>3.9</v>
      </c>
      <c r="H230">
        <v>9.3000000000000007</v>
      </c>
      <c r="I230" s="1">
        <v>3809524</v>
      </c>
      <c r="J230" s="2">
        <v>1</v>
      </c>
      <c r="K230" s="1"/>
      <c r="L230" s="1"/>
    </row>
    <row r="231" spans="1:12">
      <c r="A231">
        <v>1</v>
      </c>
      <c r="B231">
        <v>1</v>
      </c>
      <c r="C231">
        <v>0</v>
      </c>
      <c r="D231">
        <v>70</v>
      </c>
      <c r="E231">
        <v>28.6</v>
      </c>
      <c r="F231">
        <v>2.7</v>
      </c>
      <c r="G231">
        <v>6.5</v>
      </c>
      <c r="H231">
        <v>9.3000000000000007</v>
      </c>
      <c r="I231" s="1">
        <v>11600000</v>
      </c>
      <c r="J231" s="2">
        <v>1</v>
      </c>
      <c r="K231" s="1"/>
      <c r="L231" s="1"/>
    </row>
    <row r="232" spans="1:12">
      <c r="A232">
        <v>1</v>
      </c>
      <c r="B232">
        <v>1</v>
      </c>
      <c r="C232">
        <v>0</v>
      </c>
      <c r="D232">
        <v>63</v>
      </c>
      <c r="E232">
        <v>26.9</v>
      </c>
      <c r="F232">
        <v>2.7</v>
      </c>
      <c r="G232">
        <v>1.6</v>
      </c>
      <c r="H232">
        <v>9.3000000000000007</v>
      </c>
      <c r="I232" s="1">
        <v>11000000</v>
      </c>
      <c r="J232" s="2">
        <v>1</v>
      </c>
      <c r="K232" s="1"/>
      <c r="L232" s="1"/>
    </row>
    <row r="233" spans="1:12">
      <c r="A233">
        <v>1</v>
      </c>
      <c r="B233">
        <v>1</v>
      </c>
      <c r="C233">
        <v>0</v>
      </c>
      <c r="D233">
        <v>51</v>
      </c>
      <c r="E233">
        <v>23</v>
      </c>
      <c r="F233">
        <v>1.8</v>
      </c>
      <c r="G233">
        <v>1.4</v>
      </c>
      <c r="H233">
        <v>9.3000000000000007</v>
      </c>
      <c r="I233" s="1">
        <v>3080921</v>
      </c>
      <c r="J233" s="2">
        <v>1</v>
      </c>
      <c r="K233" s="1"/>
      <c r="L233" s="1"/>
    </row>
    <row r="234" spans="1:12">
      <c r="A234">
        <v>0</v>
      </c>
      <c r="B234">
        <v>1</v>
      </c>
      <c r="C234">
        <v>0</v>
      </c>
      <c r="D234">
        <v>62</v>
      </c>
      <c r="E234">
        <v>28.5</v>
      </c>
      <c r="F234">
        <v>2.8</v>
      </c>
      <c r="G234">
        <v>3</v>
      </c>
      <c r="H234">
        <v>9.3000000000000007</v>
      </c>
      <c r="I234" s="1">
        <v>5134000</v>
      </c>
      <c r="J234" s="2">
        <v>1</v>
      </c>
      <c r="K234" s="1"/>
      <c r="L234" s="1"/>
    </row>
    <row r="235" spans="1:12">
      <c r="A235">
        <v>1</v>
      </c>
      <c r="B235">
        <v>1</v>
      </c>
      <c r="C235">
        <v>0</v>
      </c>
      <c r="D235">
        <v>57</v>
      </c>
      <c r="E235">
        <v>15.8</v>
      </c>
      <c r="F235">
        <v>1.5</v>
      </c>
      <c r="G235">
        <v>1</v>
      </c>
      <c r="H235">
        <v>9.1999999999999993</v>
      </c>
      <c r="I235" s="1">
        <v>6000000</v>
      </c>
      <c r="J235" s="2">
        <v>1</v>
      </c>
      <c r="K235" s="1"/>
      <c r="L235" s="1"/>
    </row>
    <row r="236" spans="1:12">
      <c r="A236">
        <v>0</v>
      </c>
      <c r="B236">
        <v>0</v>
      </c>
      <c r="C236">
        <v>0</v>
      </c>
      <c r="D236">
        <v>47</v>
      </c>
      <c r="E236">
        <v>24.2</v>
      </c>
      <c r="F236">
        <v>9.4</v>
      </c>
      <c r="G236">
        <v>3.5</v>
      </c>
      <c r="H236">
        <v>9.1999999999999993</v>
      </c>
      <c r="I236" s="1">
        <v>28500000</v>
      </c>
      <c r="J236" s="2">
        <v>0</v>
      </c>
      <c r="K236" s="1"/>
      <c r="L236" s="1"/>
    </row>
    <row r="237" spans="1:12">
      <c r="A237">
        <v>1</v>
      </c>
      <c r="B237">
        <v>0</v>
      </c>
      <c r="C237">
        <v>1</v>
      </c>
      <c r="D237">
        <v>78</v>
      </c>
      <c r="E237">
        <v>24.8</v>
      </c>
      <c r="F237">
        <v>3.8</v>
      </c>
      <c r="G237">
        <v>1.5</v>
      </c>
      <c r="H237">
        <v>9.1999999999999993</v>
      </c>
      <c r="I237" s="1">
        <v>10044644</v>
      </c>
      <c r="J237" s="2">
        <v>1</v>
      </c>
      <c r="K237" s="1"/>
      <c r="L237" s="1"/>
    </row>
    <row r="238" spans="1:12">
      <c r="A238">
        <v>1</v>
      </c>
      <c r="B238">
        <v>0</v>
      </c>
      <c r="C238">
        <v>1</v>
      </c>
      <c r="D238">
        <v>58</v>
      </c>
      <c r="E238">
        <v>18.600000000000001</v>
      </c>
      <c r="F238">
        <v>2.2999999999999998</v>
      </c>
      <c r="G238">
        <v>1.6</v>
      </c>
      <c r="H238">
        <v>9.1999999999999993</v>
      </c>
      <c r="I238" s="1">
        <v>13975000</v>
      </c>
      <c r="J238" s="2">
        <v>1</v>
      </c>
      <c r="K238" s="1"/>
      <c r="L238" s="1"/>
    </row>
    <row r="239" spans="1:12">
      <c r="A239">
        <v>1</v>
      </c>
      <c r="B239">
        <v>0</v>
      </c>
      <c r="C239">
        <v>1</v>
      </c>
      <c r="D239">
        <v>26</v>
      </c>
      <c r="E239">
        <v>23.5</v>
      </c>
      <c r="F239">
        <v>3.1</v>
      </c>
      <c r="G239">
        <v>1.8</v>
      </c>
      <c r="H239">
        <v>9.1999999999999993</v>
      </c>
      <c r="I239" s="1">
        <v>3303774</v>
      </c>
      <c r="J239" s="2">
        <v>1</v>
      </c>
      <c r="K239" s="1"/>
      <c r="L239" s="1"/>
    </row>
    <row r="240" spans="1:12">
      <c r="A240">
        <v>0</v>
      </c>
      <c r="B240">
        <v>0</v>
      </c>
      <c r="C240">
        <v>1</v>
      </c>
      <c r="D240">
        <v>68</v>
      </c>
      <c r="E240">
        <v>20.5</v>
      </c>
      <c r="F240">
        <v>3.9</v>
      </c>
      <c r="G240">
        <v>2.2999999999999998</v>
      </c>
      <c r="H240">
        <v>9.1999999999999993</v>
      </c>
      <c r="I240" s="1">
        <v>2221677</v>
      </c>
      <c r="J240" s="2">
        <v>0</v>
      </c>
      <c r="K240" s="1"/>
      <c r="L240" s="1"/>
    </row>
    <row r="241" spans="1:12">
      <c r="A241">
        <v>1</v>
      </c>
      <c r="B241">
        <v>0</v>
      </c>
      <c r="C241">
        <v>1</v>
      </c>
      <c r="D241">
        <v>21</v>
      </c>
      <c r="E241">
        <v>16.899999999999999</v>
      </c>
      <c r="F241">
        <v>2.8</v>
      </c>
      <c r="G241">
        <v>0.7</v>
      </c>
      <c r="H241">
        <v>9.1999999999999993</v>
      </c>
      <c r="I241" s="1">
        <v>3539760</v>
      </c>
      <c r="J241" s="2">
        <v>1</v>
      </c>
      <c r="K241" s="1"/>
      <c r="L241" s="1"/>
    </row>
    <row r="242" spans="1:12">
      <c r="A242">
        <v>1</v>
      </c>
      <c r="B242">
        <v>1</v>
      </c>
      <c r="C242">
        <v>0</v>
      </c>
      <c r="D242">
        <v>49</v>
      </c>
      <c r="E242">
        <v>18.3</v>
      </c>
      <c r="F242">
        <v>2.2999999999999998</v>
      </c>
      <c r="G242">
        <v>2.9</v>
      </c>
      <c r="H242">
        <v>9.1</v>
      </c>
      <c r="I242" s="1">
        <v>601553</v>
      </c>
      <c r="J242" s="2">
        <v>1</v>
      </c>
      <c r="K242" s="1"/>
      <c r="L242" s="1"/>
    </row>
    <row r="243" spans="1:12">
      <c r="A243">
        <v>1</v>
      </c>
      <c r="B243">
        <v>0</v>
      </c>
      <c r="C243">
        <v>0</v>
      </c>
      <c r="D243">
        <v>49</v>
      </c>
      <c r="E243">
        <v>13.7</v>
      </c>
      <c r="F243">
        <v>3</v>
      </c>
      <c r="G243">
        <v>1.1000000000000001</v>
      </c>
      <c r="H243">
        <v>9</v>
      </c>
      <c r="I243" s="1">
        <v>2857143</v>
      </c>
      <c r="J243" s="2">
        <v>0</v>
      </c>
      <c r="K243" s="1"/>
      <c r="L243" s="1"/>
    </row>
    <row r="244" spans="1:12">
      <c r="A244">
        <v>0</v>
      </c>
      <c r="B244">
        <v>1</v>
      </c>
      <c r="C244">
        <v>0</v>
      </c>
      <c r="D244">
        <v>38</v>
      </c>
      <c r="E244">
        <v>18.399999999999999</v>
      </c>
      <c r="F244">
        <v>3.3</v>
      </c>
      <c r="G244">
        <v>2.7</v>
      </c>
      <c r="H244">
        <v>8.9</v>
      </c>
      <c r="I244" s="1">
        <v>4923720</v>
      </c>
      <c r="J244" s="2">
        <v>1</v>
      </c>
      <c r="K244" s="1"/>
      <c r="L244" s="1"/>
    </row>
    <row r="245" spans="1:12">
      <c r="A245">
        <v>0</v>
      </c>
      <c r="B245">
        <v>0</v>
      </c>
      <c r="C245">
        <v>1</v>
      </c>
      <c r="D245">
        <v>56</v>
      </c>
      <c r="E245">
        <v>28.4</v>
      </c>
      <c r="F245">
        <v>3.4</v>
      </c>
      <c r="G245">
        <v>2.8</v>
      </c>
      <c r="H245">
        <v>8.9</v>
      </c>
      <c r="I245" s="1">
        <v>13937574</v>
      </c>
      <c r="J245" s="2">
        <v>1</v>
      </c>
      <c r="K245" s="1"/>
      <c r="L245" s="1"/>
    </row>
    <row r="246" spans="1:12">
      <c r="A246">
        <v>1</v>
      </c>
      <c r="B246">
        <v>1</v>
      </c>
      <c r="C246">
        <v>0</v>
      </c>
      <c r="D246">
        <v>56</v>
      </c>
      <c r="E246">
        <v>22.2</v>
      </c>
      <c r="F246">
        <v>1.8</v>
      </c>
      <c r="G246">
        <v>3.8</v>
      </c>
      <c r="H246">
        <v>8.9</v>
      </c>
      <c r="I246" s="1">
        <v>3811560</v>
      </c>
      <c r="J246" s="2">
        <v>0</v>
      </c>
      <c r="K246" s="1"/>
      <c r="L246" s="1"/>
    </row>
    <row r="247" spans="1:12">
      <c r="A247">
        <v>1</v>
      </c>
      <c r="B247">
        <v>0</v>
      </c>
      <c r="C247">
        <v>1</v>
      </c>
      <c r="D247">
        <v>57</v>
      </c>
      <c r="E247">
        <v>20.8</v>
      </c>
      <c r="F247">
        <v>4.9000000000000004</v>
      </c>
      <c r="G247">
        <v>2.2000000000000002</v>
      </c>
      <c r="H247">
        <v>8.9</v>
      </c>
      <c r="I247" s="1">
        <v>2801280</v>
      </c>
      <c r="J247" s="2">
        <v>1</v>
      </c>
      <c r="K247" s="1"/>
      <c r="L247" s="1"/>
    </row>
    <row r="248" spans="1:12">
      <c r="A248">
        <v>0</v>
      </c>
      <c r="B248">
        <v>1</v>
      </c>
      <c r="C248">
        <v>0</v>
      </c>
      <c r="D248">
        <v>13</v>
      </c>
      <c r="E248">
        <v>19.5</v>
      </c>
      <c r="F248">
        <v>2.2999999999999998</v>
      </c>
      <c r="G248">
        <v>0.8</v>
      </c>
      <c r="H248">
        <v>8.8000000000000007</v>
      </c>
      <c r="I248" s="1">
        <v>157280</v>
      </c>
      <c r="J248" s="2">
        <v>1</v>
      </c>
      <c r="K248" s="1"/>
      <c r="L248" s="1"/>
    </row>
    <row r="249" spans="1:12">
      <c r="A249">
        <v>0</v>
      </c>
      <c r="B249">
        <v>0</v>
      </c>
      <c r="C249">
        <v>1</v>
      </c>
      <c r="D249">
        <v>4</v>
      </c>
      <c r="E249">
        <v>15.8</v>
      </c>
      <c r="F249">
        <v>2.5</v>
      </c>
      <c r="G249">
        <v>0</v>
      </c>
      <c r="H249">
        <v>8.8000000000000007</v>
      </c>
      <c r="I249" s="1">
        <v>153622</v>
      </c>
      <c r="J249" s="2">
        <v>1</v>
      </c>
      <c r="K249" s="1"/>
      <c r="L249" s="1"/>
    </row>
    <row r="250" spans="1:12">
      <c r="A250">
        <v>0</v>
      </c>
      <c r="B250">
        <v>1</v>
      </c>
      <c r="C250">
        <v>0</v>
      </c>
      <c r="D250">
        <v>67</v>
      </c>
      <c r="E250">
        <v>24.3</v>
      </c>
      <c r="F250">
        <v>3</v>
      </c>
      <c r="G250">
        <v>2</v>
      </c>
      <c r="H250">
        <v>8.8000000000000007</v>
      </c>
      <c r="I250" s="1">
        <v>5742480</v>
      </c>
      <c r="J250" s="2">
        <v>1</v>
      </c>
      <c r="K250" s="1"/>
      <c r="L250" s="1"/>
    </row>
    <row r="251" spans="1:12">
      <c r="A251">
        <v>1</v>
      </c>
      <c r="B251">
        <v>0</v>
      </c>
      <c r="C251">
        <v>1</v>
      </c>
      <c r="D251">
        <v>69</v>
      </c>
      <c r="E251">
        <v>20</v>
      </c>
      <c r="F251">
        <v>5.6</v>
      </c>
      <c r="G251">
        <v>1.2</v>
      </c>
      <c r="H251">
        <v>8.6999999999999993</v>
      </c>
      <c r="I251" s="1">
        <v>2349578</v>
      </c>
      <c r="J251" s="2">
        <v>1</v>
      </c>
      <c r="K251" s="1"/>
      <c r="L251" s="1"/>
    </row>
    <row r="252" spans="1:12">
      <c r="A252">
        <v>0</v>
      </c>
      <c r="B252">
        <v>1</v>
      </c>
      <c r="C252">
        <v>0</v>
      </c>
      <c r="D252">
        <v>70</v>
      </c>
      <c r="E252">
        <v>22.5</v>
      </c>
      <c r="F252">
        <v>4.9000000000000004</v>
      </c>
      <c r="G252">
        <v>2.2000000000000002</v>
      </c>
      <c r="H252">
        <v>8.6999999999999993</v>
      </c>
      <c r="I252" s="1">
        <v>2349578</v>
      </c>
      <c r="J252" s="2">
        <v>1</v>
      </c>
      <c r="K252" s="1"/>
      <c r="L252" s="1"/>
    </row>
    <row r="253" spans="1:12">
      <c r="A253">
        <v>1</v>
      </c>
      <c r="B253">
        <v>0</v>
      </c>
      <c r="C253">
        <v>0</v>
      </c>
      <c r="D253">
        <v>62</v>
      </c>
      <c r="E253">
        <v>18.7</v>
      </c>
      <c r="F253">
        <v>6.7</v>
      </c>
      <c r="G253">
        <v>2.2999999999999998</v>
      </c>
      <c r="H253">
        <v>8.6999999999999993</v>
      </c>
      <c r="I253" s="1">
        <v>6250000</v>
      </c>
      <c r="J253" s="2">
        <v>1</v>
      </c>
      <c r="K253" s="1"/>
      <c r="L253" s="1"/>
    </row>
    <row r="254" spans="1:12">
      <c r="A254">
        <v>0</v>
      </c>
      <c r="B254">
        <v>0</v>
      </c>
      <c r="C254">
        <v>0</v>
      </c>
      <c r="D254">
        <v>65</v>
      </c>
      <c r="E254">
        <v>13.4</v>
      </c>
      <c r="F254">
        <v>5.0999999999999996</v>
      </c>
      <c r="G254">
        <v>1.2</v>
      </c>
      <c r="H254">
        <v>8.6999999999999993</v>
      </c>
      <c r="I254" s="1">
        <v>10395000</v>
      </c>
      <c r="J254" s="2">
        <v>0</v>
      </c>
      <c r="K254" s="1"/>
      <c r="L254" s="1"/>
    </row>
    <row r="255" spans="1:12">
      <c r="A255">
        <v>1</v>
      </c>
      <c r="B255">
        <v>1</v>
      </c>
      <c r="C255">
        <v>0</v>
      </c>
      <c r="D255">
        <v>72</v>
      </c>
      <c r="E255">
        <v>17.8</v>
      </c>
      <c r="F255">
        <v>1.8</v>
      </c>
      <c r="G255">
        <v>1.3</v>
      </c>
      <c r="H255">
        <v>8.6</v>
      </c>
      <c r="I255" s="1">
        <v>3634153</v>
      </c>
      <c r="J255" s="2">
        <v>1</v>
      </c>
      <c r="K255" s="1"/>
      <c r="L255" s="1"/>
    </row>
    <row r="256" spans="1:12">
      <c r="A256">
        <v>0</v>
      </c>
      <c r="B256">
        <v>1</v>
      </c>
      <c r="C256">
        <v>0</v>
      </c>
      <c r="D256">
        <v>75</v>
      </c>
      <c r="E256">
        <v>25.1</v>
      </c>
      <c r="F256">
        <v>3.8</v>
      </c>
      <c r="G256">
        <v>2.4</v>
      </c>
      <c r="H256">
        <v>8.6</v>
      </c>
      <c r="I256" s="1">
        <v>3108120</v>
      </c>
      <c r="J256" s="2">
        <v>1</v>
      </c>
      <c r="K256" s="1"/>
      <c r="L256" s="1"/>
    </row>
    <row r="257" spans="1:12">
      <c r="A257">
        <v>0</v>
      </c>
      <c r="B257">
        <v>1</v>
      </c>
      <c r="C257">
        <v>0</v>
      </c>
      <c r="D257">
        <v>77</v>
      </c>
      <c r="E257">
        <v>26.6</v>
      </c>
      <c r="F257">
        <v>3.1</v>
      </c>
      <c r="G257">
        <v>2.6</v>
      </c>
      <c r="H257">
        <v>8.6</v>
      </c>
      <c r="I257" s="1">
        <v>5820240</v>
      </c>
      <c r="J257" s="2">
        <v>1</v>
      </c>
      <c r="K257" s="1"/>
      <c r="L257" s="1"/>
    </row>
    <row r="258" spans="1:12">
      <c r="A258">
        <v>0</v>
      </c>
      <c r="B258">
        <v>1</v>
      </c>
      <c r="C258">
        <v>0</v>
      </c>
      <c r="D258">
        <v>65</v>
      </c>
      <c r="E258">
        <v>21.4</v>
      </c>
      <c r="F258">
        <v>2.2999999999999998</v>
      </c>
      <c r="G258">
        <v>1.5</v>
      </c>
      <c r="H258">
        <v>8.5</v>
      </c>
      <c r="I258" s="1">
        <v>2349578</v>
      </c>
      <c r="J258" s="2">
        <v>0</v>
      </c>
      <c r="K258" s="1"/>
      <c r="L258" s="1"/>
    </row>
    <row r="259" spans="1:12">
      <c r="A259">
        <v>1</v>
      </c>
      <c r="B259">
        <v>0</v>
      </c>
      <c r="C259">
        <v>1</v>
      </c>
      <c r="D259">
        <v>70</v>
      </c>
      <c r="E259">
        <v>16.8</v>
      </c>
      <c r="F259">
        <v>3</v>
      </c>
      <c r="G259">
        <v>1.4</v>
      </c>
      <c r="H259">
        <v>8.5</v>
      </c>
      <c r="I259" s="1">
        <v>8307692</v>
      </c>
      <c r="J259" s="2">
        <v>0</v>
      </c>
      <c r="K259" s="1"/>
      <c r="L259" s="1"/>
    </row>
    <row r="260" spans="1:12">
      <c r="A260">
        <v>0</v>
      </c>
      <c r="B260">
        <v>1</v>
      </c>
      <c r="C260">
        <v>0</v>
      </c>
      <c r="D260">
        <v>71</v>
      </c>
      <c r="E260">
        <v>16.600000000000001</v>
      </c>
      <c r="F260">
        <v>1.8</v>
      </c>
      <c r="G260">
        <v>2.6</v>
      </c>
      <c r="H260">
        <v>8.5</v>
      </c>
      <c r="I260" s="1">
        <v>2461463</v>
      </c>
      <c r="J260" s="2">
        <v>1</v>
      </c>
      <c r="K260" s="1"/>
      <c r="L260" s="1"/>
    </row>
    <row r="261" spans="1:12">
      <c r="A261">
        <v>0</v>
      </c>
      <c r="B261">
        <v>0</v>
      </c>
      <c r="C261">
        <v>0</v>
      </c>
      <c r="D261">
        <v>75</v>
      </c>
      <c r="E261">
        <v>21.8</v>
      </c>
      <c r="F261">
        <v>3.6</v>
      </c>
      <c r="G261">
        <v>1.3</v>
      </c>
      <c r="H261">
        <v>8.5</v>
      </c>
      <c r="I261" s="1">
        <v>8750000</v>
      </c>
      <c r="J261" s="2">
        <v>1</v>
      </c>
      <c r="K261" s="1"/>
      <c r="L261" s="1"/>
    </row>
    <row r="262" spans="1:12">
      <c r="A262">
        <v>1</v>
      </c>
      <c r="B262">
        <v>0</v>
      </c>
      <c r="C262">
        <v>1</v>
      </c>
      <c r="D262">
        <v>57</v>
      </c>
      <c r="E262">
        <v>21.9</v>
      </c>
      <c r="F262">
        <v>5</v>
      </c>
      <c r="G262">
        <v>1.9</v>
      </c>
      <c r="H262">
        <v>8.5</v>
      </c>
      <c r="I262" s="1">
        <v>6332520</v>
      </c>
      <c r="J262" s="2">
        <v>1</v>
      </c>
      <c r="K262" s="1"/>
      <c r="L262" s="1"/>
    </row>
    <row r="263" spans="1:12">
      <c r="A263">
        <v>0</v>
      </c>
      <c r="B263">
        <v>1</v>
      </c>
      <c r="C263">
        <v>0</v>
      </c>
      <c r="D263">
        <v>78</v>
      </c>
      <c r="E263">
        <v>21.6</v>
      </c>
      <c r="F263">
        <v>2.2999999999999998</v>
      </c>
      <c r="G263">
        <v>2.2000000000000002</v>
      </c>
      <c r="H263">
        <v>8.4</v>
      </c>
      <c r="I263" s="1">
        <v>11000000</v>
      </c>
      <c r="J263" s="2">
        <v>1</v>
      </c>
      <c r="K263" s="1"/>
      <c r="L263" s="1"/>
    </row>
    <row r="264" spans="1:12">
      <c r="A264">
        <v>0</v>
      </c>
      <c r="B264">
        <v>1</v>
      </c>
      <c r="C264">
        <v>0</v>
      </c>
      <c r="D264">
        <v>51</v>
      </c>
      <c r="E264">
        <v>21.3</v>
      </c>
      <c r="F264">
        <v>2.5</v>
      </c>
      <c r="G264">
        <v>2.7</v>
      </c>
      <c r="H264">
        <v>8.4</v>
      </c>
      <c r="I264" s="1">
        <v>21621500</v>
      </c>
      <c r="J264" s="2">
        <v>1</v>
      </c>
      <c r="K264" s="1"/>
      <c r="L264" s="1"/>
    </row>
    <row r="265" spans="1:12">
      <c r="A265">
        <v>0</v>
      </c>
      <c r="B265">
        <v>0</v>
      </c>
      <c r="C265">
        <v>1</v>
      </c>
      <c r="D265">
        <v>68</v>
      </c>
      <c r="E265">
        <v>27.5</v>
      </c>
      <c r="F265">
        <v>5.5</v>
      </c>
      <c r="G265">
        <v>5.5</v>
      </c>
      <c r="H265">
        <v>8.4</v>
      </c>
      <c r="I265" s="1">
        <v>25892857</v>
      </c>
      <c r="J265" s="2">
        <v>1</v>
      </c>
      <c r="K265" s="1"/>
      <c r="L265" s="1"/>
    </row>
    <row r="266" spans="1:12">
      <c r="A266">
        <v>0</v>
      </c>
      <c r="B266">
        <v>1</v>
      </c>
      <c r="C266">
        <v>0</v>
      </c>
      <c r="D266">
        <v>67</v>
      </c>
      <c r="E266">
        <v>17.3</v>
      </c>
      <c r="F266">
        <v>2</v>
      </c>
      <c r="G266">
        <v>1.3</v>
      </c>
      <c r="H266">
        <v>8.3000000000000007</v>
      </c>
      <c r="I266" s="1">
        <v>4221360</v>
      </c>
      <c r="J266" s="2">
        <v>1</v>
      </c>
      <c r="K266" s="1"/>
      <c r="L266" s="1"/>
    </row>
    <row r="267" spans="1:12">
      <c r="A267">
        <v>0</v>
      </c>
      <c r="B267">
        <v>0</v>
      </c>
      <c r="C267">
        <v>1</v>
      </c>
      <c r="D267">
        <v>69</v>
      </c>
      <c r="E267">
        <v>26.8</v>
      </c>
      <c r="F267">
        <v>3.6</v>
      </c>
      <c r="G267">
        <v>1.2</v>
      </c>
      <c r="H267">
        <v>8.3000000000000007</v>
      </c>
      <c r="I267" s="1">
        <v>17722222</v>
      </c>
      <c r="J267" s="2">
        <v>0</v>
      </c>
      <c r="K267" s="1"/>
      <c r="L267" s="1"/>
    </row>
    <row r="268" spans="1:12">
      <c r="A268">
        <v>0</v>
      </c>
      <c r="B268">
        <v>0</v>
      </c>
      <c r="C268">
        <v>0</v>
      </c>
      <c r="D268">
        <v>45</v>
      </c>
      <c r="E268">
        <v>21.5</v>
      </c>
      <c r="F268">
        <v>4.9000000000000004</v>
      </c>
      <c r="G268">
        <v>2.6</v>
      </c>
      <c r="H268">
        <v>8.3000000000000007</v>
      </c>
      <c r="I268" s="1">
        <v>5685000</v>
      </c>
      <c r="J268" s="2">
        <v>0</v>
      </c>
      <c r="K268" s="1"/>
      <c r="L268" s="1"/>
    </row>
    <row r="269" spans="1:12">
      <c r="A269">
        <v>0</v>
      </c>
      <c r="B269">
        <v>0</v>
      </c>
      <c r="C269">
        <v>1</v>
      </c>
      <c r="D269">
        <v>3</v>
      </c>
      <c r="E269">
        <v>27.3</v>
      </c>
      <c r="F269">
        <v>7.7</v>
      </c>
      <c r="G269">
        <v>1.3</v>
      </c>
      <c r="H269">
        <v>8.3000000000000007</v>
      </c>
      <c r="I269" s="1">
        <v>146307</v>
      </c>
      <c r="J269" s="2">
        <v>1</v>
      </c>
      <c r="K269" s="1"/>
      <c r="L269" s="1"/>
    </row>
    <row r="270" spans="1:12">
      <c r="A270">
        <v>1</v>
      </c>
      <c r="B270">
        <v>1</v>
      </c>
      <c r="C270">
        <v>0</v>
      </c>
      <c r="D270">
        <v>3</v>
      </c>
      <c r="E270">
        <v>22.3</v>
      </c>
      <c r="F270">
        <v>3.3</v>
      </c>
      <c r="G270">
        <v>2.7</v>
      </c>
      <c r="H270">
        <v>8.3000000000000007</v>
      </c>
      <c r="I270" s="1">
        <v>73153</v>
      </c>
      <c r="J270" s="2">
        <v>1</v>
      </c>
      <c r="K270" s="1"/>
      <c r="L270" s="1"/>
    </row>
    <row r="271" spans="1:12">
      <c r="A271">
        <v>1</v>
      </c>
      <c r="B271">
        <v>1</v>
      </c>
      <c r="C271">
        <v>0</v>
      </c>
      <c r="D271">
        <v>15</v>
      </c>
      <c r="E271">
        <v>23.9</v>
      </c>
      <c r="F271">
        <v>3.4</v>
      </c>
      <c r="G271">
        <v>3.3</v>
      </c>
      <c r="H271">
        <v>8.3000000000000007</v>
      </c>
      <c r="I271" s="1">
        <v>65838</v>
      </c>
      <c r="J271" s="2">
        <v>1</v>
      </c>
      <c r="K271" s="1"/>
      <c r="L271" s="1"/>
    </row>
    <row r="272" spans="1:12">
      <c r="A272">
        <v>0</v>
      </c>
      <c r="B272">
        <v>1</v>
      </c>
      <c r="C272">
        <v>0</v>
      </c>
      <c r="D272">
        <v>6</v>
      </c>
      <c r="E272">
        <v>20.2</v>
      </c>
      <c r="F272">
        <v>0.8</v>
      </c>
      <c r="G272">
        <v>1.7</v>
      </c>
      <c r="H272">
        <v>8.1999999999999993</v>
      </c>
      <c r="I272" s="1">
        <v>5354000</v>
      </c>
      <c r="J272" s="2">
        <v>1</v>
      </c>
      <c r="K272" s="1"/>
      <c r="L272" s="1"/>
    </row>
    <row r="273" spans="1:12">
      <c r="A273">
        <v>0</v>
      </c>
      <c r="B273">
        <v>1</v>
      </c>
      <c r="C273">
        <v>0</v>
      </c>
      <c r="D273">
        <v>18</v>
      </c>
      <c r="E273">
        <v>16.2</v>
      </c>
      <c r="F273">
        <v>1.6</v>
      </c>
      <c r="G273">
        <v>1</v>
      </c>
      <c r="H273">
        <v>8.1999999999999993</v>
      </c>
      <c r="I273" s="1">
        <v>85300</v>
      </c>
      <c r="J273" s="2">
        <v>1</v>
      </c>
      <c r="K273" s="1"/>
      <c r="L273" s="1"/>
    </row>
    <row r="274" spans="1:12">
      <c r="A274">
        <v>1</v>
      </c>
      <c r="B274">
        <v>0</v>
      </c>
      <c r="C274">
        <v>1</v>
      </c>
      <c r="D274">
        <v>78</v>
      </c>
      <c r="E274">
        <v>19.899999999999999</v>
      </c>
      <c r="F274">
        <v>4</v>
      </c>
      <c r="G274">
        <v>1.2</v>
      </c>
      <c r="H274">
        <v>8.1999999999999993</v>
      </c>
      <c r="I274" s="1">
        <v>8657280</v>
      </c>
      <c r="J274" s="2">
        <v>1</v>
      </c>
      <c r="K274" s="1"/>
      <c r="L274" s="1"/>
    </row>
    <row r="275" spans="1:12">
      <c r="A275">
        <v>1</v>
      </c>
      <c r="B275">
        <v>0</v>
      </c>
      <c r="C275">
        <v>1</v>
      </c>
      <c r="D275">
        <v>17</v>
      </c>
      <c r="E275">
        <v>20.5</v>
      </c>
      <c r="F275">
        <v>4.5999999999999996</v>
      </c>
      <c r="G275">
        <v>2.1</v>
      </c>
      <c r="H275">
        <v>8.1999999999999993</v>
      </c>
      <c r="I275" s="1">
        <v>636435</v>
      </c>
      <c r="J275" s="2">
        <v>1</v>
      </c>
      <c r="K275" s="1"/>
      <c r="L275" s="1"/>
    </row>
    <row r="276" spans="1:12">
      <c r="A276">
        <v>0</v>
      </c>
      <c r="B276">
        <v>0</v>
      </c>
      <c r="C276">
        <v>1</v>
      </c>
      <c r="D276">
        <v>82</v>
      </c>
      <c r="E276">
        <v>25.1</v>
      </c>
      <c r="F276">
        <v>4</v>
      </c>
      <c r="G276">
        <v>1.8</v>
      </c>
      <c r="H276">
        <v>8.1999999999999993</v>
      </c>
      <c r="I276" s="1">
        <v>6000000</v>
      </c>
      <c r="J276" s="2">
        <v>1</v>
      </c>
      <c r="K276" s="1"/>
      <c r="L276" s="1"/>
    </row>
    <row r="277" spans="1:12">
      <c r="A277">
        <v>1</v>
      </c>
      <c r="B277">
        <v>1</v>
      </c>
      <c r="C277">
        <v>0</v>
      </c>
      <c r="D277">
        <v>41</v>
      </c>
      <c r="E277">
        <v>17.100000000000001</v>
      </c>
      <c r="F277">
        <v>2.1</v>
      </c>
      <c r="G277">
        <v>3</v>
      </c>
      <c r="H277">
        <v>8.1</v>
      </c>
      <c r="I277" s="1">
        <v>85300</v>
      </c>
      <c r="J277" s="2">
        <v>1</v>
      </c>
      <c r="K277" s="1"/>
      <c r="L277" s="1"/>
    </row>
    <row r="278" spans="1:12">
      <c r="A278">
        <v>1</v>
      </c>
      <c r="B278">
        <v>0</v>
      </c>
      <c r="C278">
        <v>0</v>
      </c>
      <c r="D278">
        <v>69</v>
      </c>
      <c r="E278">
        <v>16.2</v>
      </c>
      <c r="F278">
        <v>4.0999999999999996</v>
      </c>
      <c r="G278">
        <v>1</v>
      </c>
      <c r="H278">
        <v>8.1</v>
      </c>
      <c r="I278" s="1">
        <v>2461463</v>
      </c>
      <c r="J278" s="2">
        <v>1</v>
      </c>
      <c r="K278" s="1"/>
      <c r="L278" s="1"/>
    </row>
    <row r="279" spans="1:12">
      <c r="A279">
        <v>0</v>
      </c>
      <c r="B279">
        <v>1</v>
      </c>
      <c r="C279">
        <v>0</v>
      </c>
      <c r="D279">
        <v>15</v>
      </c>
      <c r="E279">
        <v>32.799999999999997</v>
      </c>
      <c r="F279">
        <v>3.8</v>
      </c>
      <c r="G279">
        <v>4.0999999999999996</v>
      </c>
      <c r="H279">
        <v>8.1</v>
      </c>
      <c r="I279" s="1">
        <v>73153</v>
      </c>
      <c r="J279" s="2">
        <v>1</v>
      </c>
      <c r="K279" s="1"/>
      <c r="L279" s="1"/>
    </row>
    <row r="280" spans="1:12">
      <c r="A280">
        <v>0</v>
      </c>
      <c r="B280">
        <v>1</v>
      </c>
      <c r="C280">
        <v>0</v>
      </c>
      <c r="D280">
        <v>42</v>
      </c>
      <c r="E280">
        <v>21</v>
      </c>
      <c r="F280">
        <v>2.1</v>
      </c>
      <c r="G280">
        <v>1.5</v>
      </c>
      <c r="H280">
        <v>8.1</v>
      </c>
      <c r="I280" s="1">
        <v>724598</v>
      </c>
      <c r="J280" s="2">
        <v>1</v>
      </c>
      <c r="K280" s="1"/>
      <c r="L280" s="1"/>
    </row>
    <row r="281" spans="1:12">
      <c r="A281">
        <v>1</v>
      </c>
      <c r="B281">
        <v>1</v>
      </c>
      <c r="C281">
        <v>0</v>
      </c>
      <c r="D281">
        <v>65</v>
      </c>
      <c r="E281">
        <v>21.2</v>
      </c>
      <c r="F281">
        <v>1</v>
      </c>
      <c r="G281">
        <v>1.2</v>
      </c>
      <c r="H281">
        <v>8.1</v>
      </c>
      <c r="I281" s="1">
        <v>3697105</v>
      </c>
      <c r="J281" s="2">
        <v>1</v>
      </c>
      <c r="K281" s="1"/>
      <c r="L281" s="1"/>
    </row>
    <row r="282" spans="1:12">
      <c r="A282">
        <v>1</v>
      </c>
      <c r="B282">
        <v>0</v>
      </c>
      <c r="C282">
        <v>1</v>
      </c>
      <c r="D282">
        <v>2</v>
      </c>
      <c r="E282">
        <v>22.5</v>
      </c>
      <c r="F282">
        <v>3</v>
      </c>
      <c r="G282">
        <v>3</v>
      </c>
      <c r="H282">
        <v>8</v>
      </c>
      <c r="I282" s="1">
        <v>47092</v>
      </c>
      <c r="J282" s="2">
        <v>1</v>
      </c>
      <c r="K282" s="1"/>
      <c r="L282" s="1"/>
    </row>
    <row r="283" spans="1:12">
      <c r="A283">
        <v>0</v>
      </c>
      <c r="B283">
        <v>1</v>
      </c>
      <c r="C283">
        <v>0</v>
      </c>
      <c r="D283">
        <v>11</v>
      </c>
      <c r="E283">
        <v>21</v>
      </c>
      <c r="F283">
        <v>4.5999999999999996</v>
      </c>
      <c r="G283">
        <v>3.3</v>
      </c>
      <c r="H283">
        <v>8</v>
      </c>
      <c r="I283" s="1">
        <v>131970</v>
      </c>
      <c r="J283" s="2">
        <v>1</v>
      </c>
      <c r="K283" s="1"/>
      <c r="L283" s="1"/>
    </row>
    <row r="284" spans="1:12">
      <c r="A284">
        <v>0</v>
      </c>
      <c r="B284">
        <v>0</v>
      </c>
      <c r="C284">
        <v>1</v>
      </c>
      <c r="D284">
        <v>5</v>
      </c>
      <c r="E284">
        <v>14.6</v>
      </c>
      <c r="F284">
        <v>4</v>
      </c>
      <c r="G284">
        <v>0.8</v>
      </c>
      <c r="H284">
        <v>8</v>
      </c>
      <c r="I284" s="1">
        <v>146307</v>
      </c>
      <c r="J284" s="2">
        <v>1</v>
      </c>
      <c r="K284" s="1"/>
      <c r="L284" s="1"/>
    </row>
    <row r="285" spans="1:12">
      <c r="A285">
        <v>1</v>
      </c>
      <c r="B285">
        <v>0</v>
      </c>
      <c r="C285">
        <v>1</v>
      </c>
      <c r="D285">
        <v>6</v>
      </c>
      <c r="E285">
        <v>30.3</v>
      </c>
      <c r="F285">
        <v>5.2</v>
      </c>
      <c r="G285">
        <v>1.7</v>
      </c>
      <c r="H285">
        <v>8</v>
      </c>
      <c r="I285" s="1">
        <v>636435</v>
      </c>
      <c r="J285" s="2">
        <v>1</v>
      </c>
      <c r="K285" s="1"/>
      <c r="L285" s="1"/>
    </row>
    <row r="286" spans="1:12">
      <c r="A286">
        <v>0</v>
      </c>
      <c r="B286">
        <v>1</v>
      </c>
      <c r="C286">
        <v>0</v>
      </c>
      <c r="D286">
        <v>14</v>
      </c>
      <c r="E286">
        <v>17.100000000000001</v>
      </c>
      <c r="F286">
        <v>2.1</v>
      </c>
      <c r="G286">
        <v>1</v>
      </c>
      <c r="H286">
        <v>8</v>
      </c>
      <c r="I286" s="1">
        <v>636435</v>
      </c>
      <c r="J286" s="2">
        <v>1</v>
      </c>
      <c r="K286" s="1"/>
      <c r="L286" s="1"/>
    </row>
    <row r="287" spans="1:12">
      <c r="A287">
        <v>0</v>
      </c>
      <c r="B287">
        <v>1</v>
      </c>
      <c r="C287">
        <v>0</v>
      </c>
      <c r="D287">
        <v>82</v>
      </c>
      <c r="E287">
        <v>24.4</v>
      </c>
      <c r="F287">
        <v>3.9</v>
      </c>
      <c r="G287">
        <v>2.1</v>
      </c>
      <c r="H287">
        <v>7.9</v>
      </c>
      <c r="I287" s="1">
        <v>3080921</v>
      </c>
      <c r="J287" s="2">
        <v>1</v>
      </c>
      <c r="K287" s="1"/>
      <c r="L287" s="1"/>
    </row>
    <row r="288" spans="1:12">
      <c r="A288">
        <v>1</v>
      </c>
      <c r="B288">
        <v>0</v>
      </c>
      <c r="C288">
        <v>0</v>
      </c>
      <c r="D288">
        <v>73</v>
      </c>
      <c r="E288">
        <v>26</v>
      </c>
      <c r="F288">
        <v>8.6999999999999993</v>
      </c>
      <c r="G288">
        <v>1.9</v>
      </c>
      <c r="H288">
        <v>7.9</v>
      </c>
      <c r="I288" s="1">
        <v>2270735</v>
      </c>
      <c r="J288" s="2">
        <v>0</v>
      </c>
      <c r="K288" s="1"/>
      <c r="L288" s="1"/>
    </row>
    <row r="289" spans="1:12">
      <c r="A289">
        <v>1</v>
      </c>
      <c r="B289">
        <v>1</v>
      </c>
      <c r="C289">
        <v>0</v>
      </c>
      <c r="D289">
        <v>24</v>
      </c>
      <c r="E289">
        <v>15.8</v>
      </c>
      <c r="F289">
        <v>1.1000000000000001</v>
      </c>
      <c r="G289">
        <v>1.7</v>
      </c>
      <c r="H289">
        <v>7.9</v>
      </c>
      <c r="I289" s="1">
        <v>85300</v>
      </c>
      <c r="J289" s="2">
        <v>1</v>
      </c>
      <c r="K289" s="1"/>
      <c r="L289" s="1"/>
    </row>
    <row r="290" spans="1:12">
      <c r="A290">
        <v>1</v>
      </c>
      <c r="B290">
        <v>0</v>
      </c>
      <c r="C290">
        <v>1</v>
      </c>
      <c r="D290">
        <v>46</v>
      </c>
      <c r="E290">
        <v>15.6</v>
      </c>
      <c r="F290">
        <v>3.9</v>
      </c>
      <c r="G290">
        <v>0.9</v>
      </c>
      <c r="H290">
        <v>7.8</v>
      </c>
      <c r="I290" s="1">
        <v>2221677</v>
      </c>
      <c r="J290" s="2">
        <v>0</v>
      </c>
      <c r="K290" s="1"/>
      <c r="L290" s="1"/>
    </row>
    <row r="291" spans="1:12">
      <c r="A291">
        <v>0</v>
      </c>
      <c r="B291">
        <v>1</v>
      </c>
      <c r="C291">
        <v>0</v>
      </c>
      <c r="D291">
        <v>69</v>
      </c>
      <c r="E291">
        <v>20.399999999999999</v>
      </c>
      <c r="F291">
        <v>2</v>
      </c>
      <c r="G291">
        <v>4</v>
      </c>
      <c r="H291">
        <v>7.8</v>
      </c>
      <c r="I291" s="1">
        <v>3991320</v>
      </c>
      <c r="J291" s="2">
        <v>1</v>
      </c>
      <c r="K291" s="1"/>
      <c r="L291" s="1"/>
    </row>
    <row r="292" spans="1:12">
      <c r="A292">
        <v>1</v>
      </c>
      <c r="B292">
        <v>0</v>
      </c>
      <c r="C292">
        <v>0</v>
      </c>
      <c r="D292">
        <v>65</v>
      </c>
      <c r="E292">
        <v>13.9</v>
      </c>
      <c r="F292">
        <v>4.5</v>
      </c>
      <c r="G292">
        <v>1.2</v>
      </c>
      <c r="H292">
        <v>7.8</v>
      </c>
      <c r="I292" s="1">
        <v>5335894</v>
      </c>
      <c r="J292" s="2">
        <v>1</v>
      </c>
      <c r="K292" s="1"/>
      <c r="L292" s="1"/>
    </row>
    <row r="293" spans="1:12">
      <c r="A293">
        <v>0</v>
      </c>
      <c r="B293">
        <v>0</v>
      </c>
      <c r="C293">
        <v>0</v>
      </c>
      <c r="D293">
        <v>27</v>
      </c>
      <c r="E293">
        <v>16.600000000000001</v>
      </c>
      <c r="F293">
        <v>6.6</v>
      </c>
      <c r="G293">
        <v>1.2</v>
      </c>
      <c r="H293">
        <v>7.8</v>
      </c>
      <c r="I293" s="1">
        <v>85300</v>
      </c>
      <c r="J293" s="2">
        <v>0</v>
      </c>
      <c r="K293" s="1"/>
      <c r="L293" s="1"/>
    </row>
    <row r="294" spans="1:12">
      <c r="A294">
        <v>1</v>
      </c>
      <c r="B294">
        <v>0</v>
      </c>
      <c r="C294">
        <v>1</v>
      </c>
      <c r="D294">
        <v>71</v>
      </c>
      <c r="E294">
        <v>23.8</v>
      </c>
      <c r="F294">
        <v>4.8</v>
      </c>
      <c r="G294">
        <v>1.2</v>
      </c>
      <c r="H294">
        <v>7.7</v>
      </c>
      <c r="I294" s="1">
        <v>3415000</v>
      </c>
      <c r="J294" s="2">
        <v>1</v>
      </c>
      <c r="K294" s="1"/>
      <c r="L294" s="1"/>
    </row>
    <row r="295" spans="1:12">
      <c r="A295">
        <v>0</v>
      </c>
      <c r="B295">
        <v>0</v>
      </c>
      <c r="C295">
        <v>1</v>
      </c>
      <c r="D295">
        <v>67</v>
      </c>
      <c r="E295">
        <v>17.3</v>
      </c>
      <c r="F295">
        <v>4</v>
      </c>
      <c r="G295">
        <v>1.4</v>
      </c>
      <c r="H295">
        <v>7.7</v>
      </c>
      <c r="I295" s="1">
        <v>1955377</v>
      </c>
      <c r="J295" s="2">
        <v>0</v>
      </c>
      <c r="K295" s="1"/>
      <c r="L295" s="1"/>
    </row>
    <row r="296" spans="1:12">
      <c r="A296">
        <v>1</v>
      </c>
      <c r="B296">
        <v>0</v>
      </c>
      <c r="C296">
        <v>0</v>
      </c>
      <c r="D296">
        <v>57</v>
      </c>
      <c r="E296">
        <v>19.3</v>
      </c>
      <c r="F296">
        <v>3.2</v>
      </c>
      <c r="G296">
        <v>2.4</v>
      </c>
      <c r="H296">
        <v>7.6</v>
      </c>
      <c r="I296" s="1">
        <v>6670882</v>
      </c>
      <c r="J296" s="2">
        <v>0</v>
      </c>
      <c r="K296" s="1"/>
      <c r="L296" s="1"/>
    </row>
    <row r="297" spans="1:12">
      <c r="A297">
        <v>1</v>
      </c>
      <c r="B297">
        <v>1</v>
      </c>
      <c r="C297">
        <v>0</v>
      </c>
      <c r="D297">
        <v>51</v>
      </c>
      <c r="E297">
        <v>16.100000000000001</v>
      </c>
      <c r="F297">
        <v>2.2999999999999998</v>
      </c>
      <c r="G297">
        <v>1.4</v>
      </c>
      <c r="H297">
        <v>7.6</v>
      </c>
      <c r="I297" s="1">
        <v>9219512</v>
      </c>
      <c r="J297" s="2">
        <v>0</v>
      </c>
      <c r="K297" s="1"/>
      <c r="L297" s="1"/>
    </row>
    <row r="298" spans="1:12">
      <c r="A298">
        <v>1</v>
      </c>
      <c r="B298">
        <v>0</v>
      </c>
      <c r="C298">
        <v>0</v>
      </c>
      <c r="D298">
        <v>69</v>
      </c>
      <c r="E298">
        <v>21.4</v>
      </c>
      <c r="F298">
        <v>5.5</v>
      </c>
      <c r="G298">
        <v>0.8</v>
      </c>
      <c r="H298">
        <v>7.6</v>
      </c>
      <c r="I298" s="1">
        <v>2296274</v>
      </c>
      <c r="J298" s="2">
        <v>1</v>
      </c>
      <c r="K298" s="1"/>
      <c r="L298" s="1"/>
    </row>
    <row r="299" spans="1:12">
      <c r="A299">
        <v>0</v>
      </c>
      <c r="B299">
        <v>0</v>
      </c>
      <c r="C299">
        <v>0</v>
      </c>
      <c r="D299">
        <v>66</v>
      </c>
      <c r="E299">
        <v>18.3</v>
      </c>
      <c r="F299">
        <v>4.0999999999999996</v>
      </c>
      <c r="G299">
        <v>0.9</v>
      </c>
      <c r="H299">
        <v>7.5</v>
      </c>
      <c r="I299" s="1">
        <v>3449323</v>
      </c>
      <c r="J299" s="2">
        <v>1</v>
      </c>
      <c r="K299" s="1"/>
      <c r="L299" s="1"/>
    </row>
    <row r="300" spans="1:12">
      <c r="A300">
        <v>0</v>
      </c>
      <c r="B300">
        <v>1</v>
      </c>
      <c r="C300">
        <v>0</v>
      </c>
      <c r="D300">
        <v>73</v>
      </c>
      <c r="E300">
        <v>15.6</v>
      </c>
      <c r="F300">
        <v>3.6</v>
      </c>
      <c r="G300">
        <v>1.7</v>
      </c>
      <c r="H300">
        <v>7.5</v>
      </c>
      <c r="I300" s="1">
        <v>3303774</v>
      </c>
      <c r="J300" s="2">
        <v>1</v>
      </c>
      <c r="K300" s="1"/>
      <c r="L300" s="1"/>
    </row>
    <row r="301" spans="1:12">
      <c r="A301">
        <v>1</v>
      </c>
      <c r="B301">
        <v>1</v>
      </c>
      <c r="C301">
        <v>0</v>
      </c>
      <c r="D301">
        <v>44</v>
      </c>
      <c r="E301">
        <v>20.8</v>
      </c>
      <c r="F301">
        <v>2.1</v>
      </c>
      <c r="G301">
        <v>3.3</v>
      </c>
      <c r="H301">
        <v>7.5</v>
      </c>
      <c r="I301" s="1">
        <v>2884560</v>
      </c>
      <c r="J301" s="2">
        <v>0</v>
      </c>
      <c r="K301" s="1"/>
      <c r="L301" s="1"/>
    </row>
    <row r="302" spans="1:12">
      <c r="A302">
        <v>1</v>
      </c>
      <c r="B302">
        <v>1</v>
      </c>
      <c r="C302">
        <v>0</v>
      </c>
      <c r="D302">
        <v>72</v>
      </c>
      <c r="E302">
        <v>20.5</v>
      </c>
      <c r="F302">
        <v>2.6</v>
      </c>
      <c r="G302">
        <v>1.2</v>
      </c>
      <c r="H302">
        <v>7.5</v>
      </c>
      <c r="I302" s="1">
        <v>3638160</v>
      </c>
      <c r="J302" s="2">
        <v>1</v>
      </c>
      <c r="K302" s="1"/>
      <c r="L302" s="1"/>
    </row>
    <row r="303" spans="1:12">
      <c r="A303">
        <v>1</v>
      </c>
      <c r="B303">
        <v>0</v>
      </c>
      <c r="C303">
        <v>1</v>
      </c>
      <c r="D303">
        <v>49</v>
      </c>
      <c r="E303">
        <v>17</v>
      </c>
      <c r="F303">
        <v>3.2</v>
      </c>
      <c r="G303">
        <v>0.9</v>
      </c>
      <c r="H303">
        <v>7.4</v>
      </c>
      <c r="I303" s="1">
        <v>2378870</v>
      </c>
      <c r="J303" s="2">
        <v>1</v>
      </c>
      <c r="K303" s="1"/>
      <c r="L303" s="1"/>
    </row>
    <row r="304" spans="1:12">
      <c r="A304">
        <v>0</v>
      </c>
      <c r="B304">
        <v>0</v>
      </c>
      <c r="C304">
        <v>1</v>
      </c>
      <c r="D304">
        <v>59</v>
      </c>
      <c r="E304">
        <v>18.899999999999999</v>
      </c>
      <c r="F304">
        <v>3.7</v>
      </c>
      <c r="G304">
        <v>0.9</v>
      </c>
      <c r="H304">
        <v>7.4</v>
      </c>
      <c r="I304" s="1">
        <v>6127080</v>
      </c>
      <c r="J304" s="2">
        <v>1</v>
      </c>
      <c r="K304" s="1"/>
      <c r="L304" s="1"/>
    </row>
    <row r="305" spans="1:12">
      <c r="A305">
        <v>1</v>
      </c>
      <c r="B305">
        <v>1</v>
      </c>
      <c r="C305">
        <v>0</v>
      </c>
      <c r="D305">
        <v>69</v>
      </c>
      <c r="E305">
        <v>19.899999999999999</v>
      </c>
      <c r="F305">
        <v>2.5</v>
      </c>
      <c r="G305">
        <v>3.4</v>
      </c>
      <c r="H305">
        <v>7.4</v>
      </c>
      <c r="I305" s="1">
        <v>4500000</v>
      </c>
      <c r="J305" s="2">
        <v>1</v>
      </c>
      <c r="K305" s="1"/>
      <c r="L305" s="1"/>
    </row>
    <row r="306" spans="1:12">
      <c r="A306">
        <v>0</v>
      </c>
      <c r="B306">
        <v>1</v>
      </c>
      <c r="C306">
        <v>0</v>
      </c>
      <c r="D306">
        <v>23</v>
      </c>
      <c r="E306">
        <v>19.7</v>
      </c>
      <c r="F306">
        <v>2.6</v>
      </c>
      <c r="G306">
        <v>2.2000000000000002</v>
      </c>
      <c r="H306">
        <v>7.4</v>
      </c>
      <c r="I306" s="1">
        <v>16020000</v>
      </c>
      <c r="J306" s="2">
        <v>0</v>
      </c>
      <c r="K306" s="1"/>
      <c r="L306" s="1"/>
    </row>
    <row r="307" spans="1:12">
      <c r="A307">
        <v>1</v>
      </c>
      <c r="B307">
        <v>1</v>
      </c>
      <c r="C307">
        <v>0</v>
      </c>
      <c r="D307">
        <v>60</v>
      </c>
      <c r="E307">
        <v>19.2</v>
      </c>
      <c r="F307">
        <v>2</v>
      </c>
      <c r="G307">
        <v>2.7</v>
      </c>
      <c r="H307">
        <v>7.4</v>
      </c>
      <c r="I307" s="1">
        <v>14104000</v>
      </c>
      <c r="J307" s="2">
        <v>1</v>
      </c>
      <c r="K307" s="1"/>
      <c r="L307" s="1"/>
    </row>
    <row r="308" spans="1:12">
      <c r="A308">
        <v>1</v>
      </c>
      <c r="B308">
        <v>1</v>
      </c>
      <c r="C308">
        <v>0</v>
      </c>
      <c r="D308">
        <v>22</v>
      </c>
      <c r="E308">
        <v>17</v>
      </c>
      <c r="F308">
        <v>2</v>
      </c>
      <c r="G308">
        <v>2.6</v>
      </c>
      <c r="H308">
        <v>7.4</v>
      </c>
      <c r="I308" s="1">
        <v>1127841</v>
      </c>
      <c r="J308" s="2">
        <v>1</v>
      </c>
      <c r="K308" s="1"/>
      <c r="L308" s="1"/>
    </row>
    <row r="309" spans="1:12">
      <c r="A309">
        <v>1</v>
      </c>
      <c r="B309">
        <v>1</v>
      </c>
      <c r="C309">
        <v>0</v>
      </c>
      <c r="D309">
        <v>50</v>
      </c>
      <c r="E309">
        <v>20.6</v>
      </c>
      <c r="F309">
        <v>3.9</v>
      </c>
      <c r="G309">
        <v>1.3</v>
      </c>
      <c r="H309">
        <v>7.4</v>
      </c>
      <c r="I309" s="1">
        <v>1131970</v>
      </c>
      <c r="J309" s="2">
        <v>1</v>
      </c>
      <c r="K309" s="1"/>
      <c r="L309" s="1"/>
    </row>
    <row r="310" spans="1:12">
      <c r="A310">
        <v>0</v>
      </c>
      <c r="B310">
        <v>1</v>
      </c>
      <c r="C310">
        <v>0</v>
      </c>
      <c r="D310">
        <v>82</v>
      </c>
      <c r="E310">
        <v>27.2</v>
      </c>
      <c r="F310">
        <v>3.3</v>
      </c>
      <c r="G310">
        <v>3.6</v>
      </c>
      <c r="H310">
        <v>7.3</v>
      </c>
      <c r="I310" s="1">
        <v>5426400</v>
      </c>
      <c r="J310" s="2">
        <v>1</v>
      </c>
      <c r="K310" s="1"/>
      <c r="L310" s="1"/>
    </row>
    <row r="311" spans="1:12">
      <c r="A311">
        <v>1</v>
      </c>
      <c r="B311">
        <v>0</v>
      </c>
      <c r="C311">
        <v>1</v>
      </c>
      <c r="D311">
        <v>47</v>
      </c>
      <c r="E311">
        <v>17.2</v>
      </c>
      <c r="F311">
        <v>3.3</v>
      </c>
      <c r="G311">
        <v>2.2000000000000002</v>
      </c>
      <c r="H311">
        <v>7.3</v>
      </c>
      <c r="I311" s="1">
        <v>4445417</v>
      </c>
      <c r="J311" s="2">
        <v>0</v>
      </c>
      <c r="K311" s="1"/>
      <c r="L311" s="1"/>
    </row>
    <row r="312" spans="1:12">
      <c r="A312">
        <v>0</v>
      </c>
      <c r="B312">
        <v>1</v>
      </c>
      <c r="C312">
        <v>0</v>
      </c>
      <c r="D312">
        <v>68</v>
      </c>
      <c r="E312">
        <v>19.899999999999999</v>
      </c>
      <c r="F312">
        <v>2.2999999999999998</v>
      </c>
      <c r="G312">
        <v>1.6</v>
      </c>
      <c r="H312">
        <v>7.3</v>
      </c>
      <c r="I312" s="1">
        <v>475497</v>
      </c>
      <c r="J312" s="2">
        <v>1</v>
      </c>
      <c r="K312" s="1"/>
      <c r="L312" s="1"/>
    </row>
    <row r="313" spans="1:12">
      <c r="A313">
        <v>1</v>
      </c>
      <c r="B313">
        <v>0</v>
      </c>
      <c r="C313">
        <v>1</v>
      </c>
      <c r="D313">
        <v>13</v>
      </c>
      <c r="E313">
        <v>23.9</v>
      </c>
      <c r="F313">
        <v>4.4000000000000004</v>
      </c>
      <c r="G313">
        <v>2.8</v>
      </c>
      <c r="H313">
        <v>7.3</v>
      </c>
      <c r="I313" s="1">
        <v>160938</v>
      </c>
      <c r="J313" s="2">
        <v>1</v>
      </c>
      <c r="K313" s="1"/>
      <c r="L313" s="1"/>
    </row>
    <row r="314" spans="1:12">
      <c r="A314">
        <v>1</v>
      </c>
      <c r="B314">
        <v>1</v>
      </c>
      <c r="C314">
        <v>0</v>
      </c>
      <c r="D314">
        <v>63</v>
      </c>
      <c r="E314">
        <v>24.3</v>
      </c>
      <c r="F314">
        <v>3.2</v>
      </c>
      <c r="G314">
        <v>3</v>
      </c>
      <c r="H314">
        <v>7.2</v>
      </c>
      <c r="I314" s="1">
        <v>15500000</v>
      </c>
      <c r="J314" s="2">
        <v>1</v>
      </c>
      <c r="K314" s="1"/>
      <c r="L314" s="1"/>
    </row>
    <row r="315" spans="1:12">
      <c r="A315">
        <v>0</v>
      </c>
      <c r="B315">
        <v>1</v>
      </c>
      <c r="C315">
        <v>0</v>
      </c>
      <c r="D315">
        <v>66</v>
      </c>
      <c r="E315">
        <v>18.600000000000001</v>
      </c>
      <c r="F315">
        <v>2.4</v>
      </c>
      <c r="G315">
        <v>3.5</v>
      </c>
      <c r="H315">
        <v>7.2</v>
      </c>
      <c r="I315" s="1">
        <v>857804</v>
      </c>
      <c r="J315" s="2">
        <v>1</v>
      </c>
      <c r="K315" s="1"/>
      <c r="L315" s="1"/>
    </row>
    <row r="316" spans="1:12">
      <c r="A316">
        <v>0</v>
      </c>
      <c r="B316">
        <v>1</v>
      </c>
      <c r="C316">
        <v>0</v>
      </c>
      <c r="D316">
        <v>57</v>
      </c>
      <c r="E316">
        <v>15.1</v>
      </c>
      <c r="F316">
        <v>2</v>
      </c>
      <c r="G316">
        <v>1.1000000000000001</v>
      </c>
      <c r="H316">
        <v>7.2</v>
      </c>
      <c r="I316" s="1">
        <v>2674200</v>
      </c>
      <c r="J316" s="2">
        <v>1</v>
      </c>
      <c r="K316" s="1"/>
      <c r="L316" s="1"/>
    </row>
    <row r="317" spans="1:12">
      <c r="A317">
        <v>0</v>
      </c>
      <c r="B317">
        <v>0</v>
      </c>
      <c r="C317">
        <v>1</v>
      </c>
      <c r="D317">
        <v>65</v>
      </c>
      <c r="E317">
        <v>19.600000000000001</v>
      </c>
      <c r="F317">
        <v>5.5</v>
      </c>
      <c r="G317">
        <v>2.4</v>
      </c>
      <c r="H317">
        <v>7.2</v>
      </c>
      <c r="I317" s="1">
        <v>8450704</v>
      </c>
      <c r="J317" s="2">
        <v>1</v>
      </c>
      <c r="K317" s="1"/>
      <c r="L317" s="1"/>
    </row>
    <row r="318" spans="1:12">
      <c r="A318">
        <v>1</v>
      </c>
      <c r="B318">
        <v>0</v>
      </c>
      <c r="C318">
        <v>1</v>
      </c>
      <c r="D318">
        <v>15</v>
      </c>
      <c r="E318">
        <v>28.9</v>
      </c>
      <c r="F318">
        <v>5</v>
      </c>
      <c r="G318">
        <v>1.5</v>
      </c>
      <c r="H318">
        <v>7.1</v>
      </c>
      <c r="I318" s="1">
        <v>186541</v>
      </c>
      <c r="J318" s="2">
        <v>1</v>
      </c>
      <c r="K318" s="1"/>
      <c r="L318" s="1"/>
    </row>
    <row r="319" spans="1:12">
      <c r="A319">
        <v>0</v>
      </c>
      <c r="B319">
        <v>1</v>
      </c>
      <c r="C319">
        <v>0</v>
      </c>
      <c r="D319">
        <v>10</v>
      </c>
      <c r="E319">
        <v>13.3</v>
      </c>
      <c r="F319">
        <v>1.2</v>
      </c>
      <c r="G319">
        <v>1</v>
      </c>
      <c r="H319">
        <v>7.1</v>
      </c>
      <c r="I319" s="1">
        <v>2777830</v>
      </c>
      <c r="J319" s="2">
        <v>1</v>
      </c>
      <c r="K319" s="1"/>
      <c r="L319" s="1"/>
    </row>
    <row r="320" spans="1:12">
      <c r="A320">
        <v>1</v>
      </c>
      <c r="B320">
        <v>1</v>
      </c>
      <c r="C320">
        <v>0</v>
      </c>
      <c r="D320">
        <v>65</v>
      </c>
      <c r="E320">
        <v>21.4</v>
      </c>
      <c r="F320">
        <v>3</v>
      </c>
      <c r="G320">
        <v>1.8</v>
      </c>
      <c r="H320">
        <v>7.1</v>
      </c>
      <c r="I320" s="1">
        <v>2790720</v>
      </c>
      <c r="J320" s="2">
        <v>1</v>
      </c>
      <c r="K320" s="1"/>
      <c r="L320" s="1"/>
    </row>
    <row r="321" spans="1:12">
      <c r="A321">
        <v>0</v>
      </c>
      <c r="B321">
        <v>0</v>
      </c>
      <c r="C321">
        <v>0</v>
      </c>
      <c r="D321">
        <v>2</v>
      </c>
      <c r="E321">
        <v>24.5</v>
      </c>
      <c r="F321">
        <v>7.5</v>
      </c>
      <c r="G321">
        <v>1.5</v>
      </c>
      <c r="H321">
        <v>7</v>
      </c>
      <c r="I321" s="1">
        <v>87784</v>
      </c>
      <c r="J321" s="2">
        <v>1</v>
      </c>
      <c r="K321" s="1"/>
      <c r="L321" s="1"/>
    </row>
    <row r="322" spans="1:12">
      <c r="A322">
        <v>1</v>
      </c>
      <c r="B322">
        <v>1</v>
      </c>
      <c r="C322">
        <v>0</v>
      </c>
      <c r="D322">
        <v>32</v>
      </c>
      <c r="E322">
        <v>20.399999999999999</v>
      </c>
      <c r="F322">
        <v>2.2000000000000002</v>
      </c>
      <c r="G322">
        <v>1.8</v>
      </c>
      <c r="H322">
        <v>7</v>
      </c>
      <c r="I322" s="1">
        <v>636435</v>
      </c>
      <c r="J322" s="2">
        <v>1</v>
      </c>
      <c r="K322" s="1"/>
      <c r="L322" s="1"/>
    </row>
    <row r="323" spans="1:12">
      <c r="A323">
        <v>1</v>
      </c>
      <c r="B323">
        <v>0</v>
      </c>
      <c r="C323">
        <v>1</v>
      </c>
      <c r="D323">
        <v>36</v>
      </c>
      <c r="E323">
        <v>19.8</v>
      </c>
      <c r="F323">
        <v>3.9</v>
      </c>
      <c r="G323">
        <v>1.6</v>
      </c>
      <c r="H323">
        <v>7</v>
      </c>
      <c r="I323" s="1">
        <v>13645500</v>
      </c>
      <c r="J323" s="2">
        <v>1</v>
      </c>
      <c r="K323" s="1"/>
      <c r="L323" s="1"/>
    </row>
    <row r="324" spans="1:12">
      <c r="A324">
        <v>1</v>
      </c>
      <c r="B324">
        <v>0</v>
      </c>
      <c r="C324">
        <v>1</v>
      </c>
      <c r="D324">
        <v>72</v>
      </c>
      <c r="E324">
        <v>20.5</v>
      </c>
      <c r="F324">
        <v>3</v>
      </c>
      <c r="G324">
        <v>1.5</v>
      </c>
      <c r="H324">
        <v>7</v>
      </c>
      <c r="I324" s="1">
        <v>18000000</v>
      </c>
      <c r="J324" s="2">
        <v>1</v>
      </c>
      <c r="K324" s="1"/>
      <c r="L324" s="1"/>
    </row>
    <row r="325" spans="1:12">
      <c r="A325">
        <v>1</v>
      </c>
      <c r="B325">
        <v>1</v>
      </c>
      <c r="C325">
        <v>0</v>
      </c>
      <c r="D325">
        <v>82</v>
      </c>
      <c r="E325">
        <v>17.600000000000001</v>
      </c>
      <c r="F325">
        <v>2.8</v>
      </c>
      <c r="G325">
        <v>0.7</v>
      </c>
      <c r="H325">
        <v>6.9</v>
      </c>
      <c r="I325" s="1">
        <v>2874436</v>
      </c>
      <c r="J325" s="2">
        <v>1</v>
      </c>
      <c r="K325" s="1"/>
      <c r="L325" s="1"/>
    </row>
    <row r="326" spans="1:12">
      <c r="A326">
        <v>1</v>
      </c>
      <c r="B326">
        <v>0</v>
      </c>
      <c r="C326">
        <v>0</v>
      </c>
      <c r="D326">
        <v>36</v>
      </c>
      <c r="E326">
        <v>11.9</v>
      </c>
      <c r="F326">
        <v>3.2</v>
      </c>
      <c r="G326">
        <v>0.8</v>
      </c>
      <c r="H326">
        <v>6.9</v>
      </c>
      <c r="I326" s="1">
        <v>5000000</v>
      </c>
      <c r="J326" s="2">
        <v>0</v>
      </c>
      <c r="K326" s="1"/>
      <c r="L326" s="1"/>
    </row>
    <row r="327" spans="1:12">
      <c r="A327">
        <v>1</v>
      </c>
      <c r="B327">
        <v>0</v>
      </c>
      <c r="C327">
        <v>1</v>
      </c>
      <c r="D327">
        <v>14</v>
      </c>
      <c r="E327">
        <v>14</v>
      </c>
      <c r="F327">
        <v>2.2999999999999998</v>
      </c>
      <c r="G327">
        <v>1.1000000000000001</v>
      </c>
      <c r="H327">
        <v>6.8</v>
      </c>
      <c r="I327" s="1">
        <v>636435</v>
      </c>
      <c r="J327" s="2">
        <v>1</v>
      </c>
      <c r="K327" s="1"/>
      <c r="L327" s="1"/>
    </row>
    <row r="328" spans="1:12">
      <c r="A328">
        <v>0</v>
      </c>
      <c r="B328">
        <v>1</v>
      </c>
      <c r="C328">
        <v>0</v>
      </c>
      <c r="D328">
        <v>26</v>
      </c>
      <c r="E328">
        <v>21</v>
      </c>
      <c r="F328">
        <v>2</v>
      </c>
      <c r="G328">
        <v>2.9</v>
      </c>
      <c r="H328">
        <v>6.8</v>
      </c>
      <c r="I328" s="1">
        <v>636435</v>
      </c>
      <c r="J328" s="2">
        <v>1</v>
      </c>
      <c r="K328" s="1"/>
      <c r="L328" s="1"/>
    </row>
    <row r="329" spans="1:12">
      <c r="A329">
        <v>1</v>
      </c>
      <c r="B329">
        <v>1</v>
      </c>
      <c r="C329">
        <v>0</v>
      </c>
      <c r="D329">
        <v>72</v>
      </c>
      <c r="E329">
        <v>20.5</v>
      </c>
      <c r="F329">
        <v>1.9</v>
      </c>
      <c r="G329">
        <v>1</v>
      </c>
      <c r="H329">
        <v>6.7</v>
      </c>
      <c r="I329" s="1">
        <v>2301587</v>
      </c>
      <c r="J329" s="2">
        <v>1</v>
      </c>
      <c r="K329" s="1"/>
      <c r="L329" s="1"/>
    </row>
    <row r="330" spans="1:12">
      <c r="A330">
        <v>0</v>
      </c>
      <c r="B330">
        <v>0</v>
      </c>
      <c r="C330">
        <v>0</v>
      </c>
      <c r="D330">
        <v>55</v>
      </c>
      <c r="E330">
        <v>16.5</v>
      </c>
      <c r="F330">
        <v>5.3</v>
      </c>
      <c r="G330">
        <v>0.9</v>
      </c>
      <c r="H330">
        <v>6.7</v>
      </c>
      <c r="I330" s="1">
        <v>7600000</v>
      </c>
      <c r="J330" s="2">
        <v>1</v>
      </c>
      <c r="K330" s="1"/>
      <c r="L330" s="1"/>
    </row>
    <row r="331" spans="1:12">
      <c r="A331">
        <v>1</v>
      </c>
      <c r="B331">
        <v>1</v>
      </c>
      <c r="C331">
        <v>0</v>
      </c>
      <c r="D331">
        <v>35</v>
      </c>
      <c r="E331">
        <v>15.1</v>
      </c>
      <c r="F331">
        <v>2.5</v>
      </c>
      <c r="G331">
        <v>3.5</v>
      </c>
      <c r="H331">
        <v>6.7</v>
      </c>
      <c r="I331" s="1">
        <v>6367947</v>
      </c>
      <c r="J331" s="2">
        <v>1</v>
      </c>
      <c r="K331" s="1"/>
      <c r="L331" s="1"/>
    </row>
    <row r="332" spans="1:12">
      <c r="A332">
        <v>0</v>
      </c>
      <c r="B332">
        <v>0</v>
      </c>
      <c r="C332">
        <v>1</v>
      </c>
      <c r="D332">
        <v>37</v>
      </c>
      <c r="E332">
        <v>16.600000000000001</v>
      </c>
      <c r="F332">
        <v>5.8</v>
      </c>
      <c r="G332">
        <v>1.8</v>
      </c>
      <c r="H332">
        <v>6.7</v>
      </c>
      <c r="I332" s="1">
        <v>4150000</v>
      </c>
      <c r="J332" s="2">
        <v>1</v>
      </c>
      <c r="K332" s="1"/>
      <c r="L332" s="1"/>
    </row>
    <row r="333" spans="1:12">
      <c r="A333">
        <v>0</v>
      </c>
      <c r="B333">
        <v>0</v>
      </c>
      <c r="C333">
        <v>0</v>
      </c>
      <c r="D333">
        <v>59</v>
      </c>
      <c r="E333">
        <v>17.100000000000001</v>
      </c>
      <c r="F333">
        <v>7</v>
      </c>
      <c r="G333">
        <v>1</v>
      </c>
      <c r="H333">
        <v>6.7</v>
      </c>
      <c r="I333" s="1">
        <v>13285713</v>
      </c>
      <c r="J333" s="2">
        <v>1</v>
      </c>
      <c r="K333" s="1"/>
      <c r="L333" s="1"/>
    </row>
    <row r="334" spans="1:12">
      <c r="A334">
        <v>0</v>
      </c>
      <c r="B334">
        <v>1</v>
      </c>
      <c r="C334">
        <v>0</v>
      </c>
      <c r="D334">
        <v>60</v>
      </c>
      <c r="E334">
        <v>19.5</v>
      </c>
      <c r="F334">
        <v>2.2000000000000002</v>
      </c>
      <c r="G334">
        <v>5.3</v>
      </c>
      <c r="H334">
        <v>6.6</v>
      </c>
      <c r="I334" s="1">
        <v>321875</v>
      </c>
      <c r="J334" s="2">
        <v>0</v>
      </c>
      <c r="K334" s="1"/>
      <c r="L334" s="1"/>
    </row>
    <row r="335" spans="1:12">
      <c r="A335">
        <v>1</v>
      </c>
      <c r="B335">
        <v>1</v>
      </c>
      <c r="C335">
        <v>0</v>
      </c>
      <c r="D335">
        <v>82</v>
      </c>
      <c r="E335">
        <v>22.6</v>
      </c>
      <c r="F335">
        <v>1.7</v>
      </c>
      <c r="G335">
        <v>5.4</v>
      </c>
      <c r="H335">
        <v>6.6</v>
      </c>
      <c r="I335" s="1">
        <v>1955377</v>
      </c>
      <c r="J335" s="2">
        <v>1</v>
      </c>
      <c r="K335" s="1"/>
      <c r="L335" s="1"/>
    </row>
    <row r="336" spans="1:12">
      <c r="A336">
        <v>0</v>
      </c>
      <c r="B336">
        <v>0</v>
      </c>
      <c r="C336">
        <v>1</v>
      </c>
      <c r="D336">
        <v>82</v>
      </c>
      <c r="E336">
        <v>22</v>
      </c>
      <c r="F336">
        <v>5.0999999999999996</v>
      </c>
      <c r="G336">
        <v>2.2999999999999998</v>
      </c>
      <c r="H336">
        <v>6.5</v>
      </c>
      <c r="I336" s="1">
        <v>1955377</v>
      </c>
      <c r="J336" s="2">
        <v>1</v>
      </c>
      <c r="K336" s="1"/>
      <c r="L336" s="1"/>
    </row>
    <row r="337" spans="1:12">
      <c r="A337">
        <v>0</v>
      </c>
      <c r="B337">
        <v>0</v>
      </c>
      <c r="C337">
        <v>0</v>
      </c>
      <c r="D337">
        <v>68</v>
      </c>
      <c r="E337">
        <v>21</v>
      </c>
      <c r="F337">
        <v>6.1</v>
      </c>
      <c r="G337">
        <v>1.9</v>
      </c>
      <c r="H337">
        <v>6.5</v>
      </c>
      <c r="I337" s="1">
        <v>11000000</v>
      </c>
      <c r="J337" s="2">
        <v>1</v>
      </c>
      <c r="K337" s="1"/>
      <c r="L337" s="1"/>
    </row>
    <row r="338" spans="1:12">
      <c r="A338">
        <v>1</v>
      </c>
      <c r="B338">
        <v>1</v>
      </c>
      <c r="C338">
        <v>0</v>
      </c>
      <c r="D338">
        <v>63</v>
      </c>
      <c r="E338">
        <v>21</v>
      </c>
      <c r="F338">
        <v>1.8</v>
      </c>
      <c r="G338">
        <v>1.4</v>
      </c>
      <c r="H338">
        <v>6.5</v>
      </c>
      <c r="I338" s="1">
        <v>3372240</v>
      </c>
      <c r="J338" s="2">
        <v>1</v>
      </c>
      <c r="K338" s="1"/>
      <c r="L338" s="1"/>
    </row>
    <row r="339" spans="1:12">
      <c r="A339">
        <v>1</v>
      </c>
      <c r="B339">
        <v>0</v>
      </c>
      <c r="C339">
        <v>1</v>
      </c>
      <c r="D339">
        <v>53</v>
      </c>
      <c r="E339">
        <v>16.3</v>
      </c>
      <c r="F339">
        <v>3.3</v>
      </c>
      <c r="G339">
        <v>2.5</v>
      </c>
      <c r="H339">
        <v>6.5</v>
      </c>
      <c r="I339" s="1">
        <v>2461463</v>
      </c>
      <c r="J339" s="2">
        <v>1</v>
      </c>
      <c r="K339" s="1"/>
      <c r="L339" s="1"/>
    </row>
    <row r="340" spans="1:12">
      <c r="A340">
        <v>0</v>
      </c>
      <c r="B340">
        <v>0</v>
      </c>
      <c r="C340">
        <v>1</v>
      </c>
      <c r="D340">
        <v>56</v>
      </c>
      <c r="E340">
        <v>15.3</v>
      </c>
      <c r="F340">
        <v>3.3</v>
      </c>
      <c r="G340">
        <v>1.4</v>
      </c>
      <c r="H340">
        <v>6.5</v>
      </c>
      <c r="I340" s="1">
        <v>7163000</v>
      </c>
      <c r="J340" s="2">
        <v>1</v>
      </c>
      <c r="K340" s="1"/>
      <c r="L340" s="1"/>
    </row>
    <row r="341" spans="1:12">
      <c r="A341">
        <v>1</v>
      </c>
      <c r="B341">
        <v>1</v>
      </c>
      <c r="C341">
        <v>0</v>
      </c>
      <c r="D341">
        <v>53</v>
      </c>
      <c r="E341">
        <v>16.399999999999999</v>
      </c>
      <c r="F341">
        <v>1.7</v>
      </c>
      <c r="G341">
        <v>1.6</v>
      </c>
      <c r="H341">
        <v>6.4</v>
      </c>
      <c r="I341" s="1">
        <v>1168625</v>
      </c>
      <c r="J341" s="2">
        <v>1</v>
      </c>
      <c r="K341" s="1"/>
      <c r="L341" s="1"/>
    </row>
    <row r="342" spans="1:12">
      <c r="A342">
        <v>1</v>
      </c>
      <c r="B342">
        <v>0</v>
      </c>
      <c r="C342">
        <v>0</v>
      </c>
      <c r="D342">
        <v>63</v>
      </c>
      <c r="E342">
        <v>19.5</v>
      </c>
      <c r="F342">
        <v>8.4</v>
      </c>
      <c r="G342">
        <v>1.3</v>
      </c>
      <c r="H342">
        <v>6.4</v>
      </c>
      <c r="I342" s="1">
        <v>5000000</v>
      </c>
      <c r="J342" s="2">
        <v>1</v>
      </c>
      <c r="K342" s="1"/>
      <c r="L342" s="1"/>
    </row>
    <row r="343" spans="1:12">
      <c r="A343">
        <v>0</v>
      </c>
      <c r="B343">
        <v>1</v>
      </c>
      <c r="C343">
        <v>0</v>
      </c>
      <c r="D343">
        <v>69</v>
      </c>
      <c r="E343">
        <v>20</v>
      </c>
      <c r="F343">
        <v>2.5</v>
      </c>
      <c r="G343">
        <v>1.3</v>
      </c>
      <c r="H343">
        <v>6.4</v>
      </c>
      <c r="I343" s="1">
        <v>1272870</v>
      </c>
      <c r="J343" s="2">
        <v>1</v>
      </c>
      <c r="K343" s="1"/>
      <c r="L343" s="1"/>
    </row>
    <row r="344" spans="1:12">
      <c r="A344">
        <v>1</v>
      </c>
      <c r="B344">
        <v>0</v>
      </c>
      <c r="C344">
        <v>1</v>
      </c>
      <c r="D344">
        <v>54</v>
      </c>
      <c r="E344">
        <v>15.9</v>
      </c>
      <c r="F344">
        <v>2.1</v>
      </c>
      <c r="G344">
        <v>0.9</v>
      </c>
      <c r="H344">
        <v>6.4</v>
      </c>
      <c r="I344" s="1">
        <v>2221677</v>
      </c>
      <c r="J344" s="2">
        <v>1</v>
      </c>
      <c r="K344" s="1"/>
      <c r="L344" s="1"/>
    </row>
    <row r="345" spans="1:12">
      <c r="A345">
        <v>1</v>
      </c>
      <c r="B345">
        <v>1</v>
      </c>
      <c r="C345">
        <v>0</v>
      </c>
      <c r="D345">
        <v>65</v>
      </c>
      <c r="E345">
        <v>14.9</v>
      </c>
      <c r="F345">
        <v>2</v>
      </c>
      <c r="G345">
        <v>2.2000000000000002</v>
      </c>
      <c r="H345">
        <v>6.3</v>
      </c>
      <c r="I345" s="1">
        <v>6576120</v>
      </c>
      <c r="J345" s="2">
        <v>1</v>
      </c>
      <c r="K345" s="1"/>
      <c r="L345" s="1"/>
    </row>
    <row r="346" spans="1:12">
      <c r="A346">
        <v>0</v>
      </c>
      <c r="B346">
        <v>0</v>
      </c>
      <c r="C346">
        <v>1</v>
      </c>
      <c r="D346">
        <v>43</v>
      </c>
      <c r="E346">
        <v>19.8</v>
      </c>
      <c r="F346">
        <v>3.5</v>
      </c>
      <c r="G346">
        <v>2.9</v>
      </c>
      <c r="H346">
        <v>6.2</v>
      </c>
      <c r="I346" s="1">
        <v>898095</v>
      </c>
      <c r="J346" s="2">
        <v>1</v>
      </c>
      <c r="K346" s="1"/>
      <c r="L346" s="1"/>
    </row>
    <row r="347" spans="1:12">
      <c r="A347">
        <v>1</v>
      </c>
      <c r="B347">
        <v>0</v>
      </c>
      <c r="C347">
        <v>0</v>
      </c>
      <c r="D347">
        <v>60</v>
      </c>
      <c r="E347">
        <v>12.2</v>
      </c>
      <c r="F347">
        <v>3.4</v>
      </c>
      <c r="G347">
        <v>0.6</v>
      </c>
      <c r="H347">
        <v>6.2</v>
      </c>
      <c r="I347" s="1">
        <v>3287409</v>
      </c>
      <c r="J347" s="2">
        <v>1</v>
      </c>
      <c r="K347" s="1"/>
      <c r="L347" s="1"/>
    </row>
    <row r="348" spans="1:12">
      <c r="A348">
        <v>0</v>
      </c>
      <c r="B348">
        <v>1</v>
      </c>
      <c r="C348">
        <v>0</v>
      </c>
      <c r="D348">
        <v>56</v>
      </c>
      <c r="E348">
        <v>18.2</v>
      </c>
      <c r="F348">
        <v>2.8</v>
      </c>
      <c r="G348">
        <v>2</v>
      </c>
      <c r="H348">
        <v>6.2</v>
      </c>
      <c r="I348" s="1">
        <v>18102000</v>
      </c>
      <c r="J348" s="2">
        <v>1</v>
      </c>
      <c r="K348" s="1"/>
      <c r="L348" s="1"/>
    </row>
    <row r="349" spans="1:12">
      <c r="A349">
        <v>1</v>
      </c>
      <c r="B349">
        <v>1</v>
      </c>
      <c r="C349">
        <v>0</v>
      </c>
      <c r="D349">
        <v>53</v>
      </c>
      <c r="E349">
        <v>17.8</v>
      </c>
      <c r="F349">
        <v>2.6</v>
      </c>
      <c r="G349">
        <v>2.6</v>
      </c>
      <c r="H349">
        <v>6.2</v>
      </c>
      <c r="I349" s="1">
        <v>3658800</v>
      </c>
      <c r="J349" s="2">
        <v>0</v>
      </c>
      <c r="K349" s="1"/>
      <c r="L349" s="1"/>
    </row>
    <row r="350" spans="1:12">
      <c r="A350">
        <v>0</v>
      </c>
      <c r="B350">
        <v>1</v>
      </c>
      <c r="C350">
        <v>0</v>
      </c>
      <c r="D350">
        <v>31</v>
      </c>
      <c r="E350">
        <v>21.7</v>
      </c>
      <c r="F350">
        <v>2.6</v>
      </c>
      <c r="G350">
        <v>2.2000000000000002</v>
      </c>
      <c r="H350">
        <v>6.2</v>
      </c>
      <c r="I350" s="1">
        <v>270668</v>
      </c>
      <c r="J350" s="2">
        <v>1</v>
      </c>
      <c r="K350" s="1"/>
      <c r="L350" s="1"/>
    </row>
    <row r="351" spans="1:12">
      <c r="A351">
        <v>0</v>
      </c>
      <c r="B351">
        <v>1</v>
      </c>
      <c r="C351">
        <v>0</v>
      </c>
      <c r="D351">
        <v>30</v>
      </c>
      <c r="E351">
        <v>12.5</v>
      </c>
      <c r="F351">
        <v>0.8</v>
      </c>
      <c r="G351">
        <v>1</v>
      </c>
      <c r="H351">
        <v>6.2</v>
      </c>
      <c r="I351" s="1">
        <v>13197</v>
      </c>
      <c r="J351" s="2">
        <v>1</v>
      </c>
      <c r="K351" s="1"/>
      <c r="L351" s="1"/>
    </row>
    <row r="352" spans="1:12">
      <c r="A352">
        <v>1</v>
      </c>
      <c r="B352">
        <v>1</v>
      </c>
      <c r="C352">
        <v>0</v>
      </c>
      <c r="D352">
        <v>76</v>
      </c>
      <c r="E352">
        <v>14</v>
      </c>
      <c r="F352">
        <v>1.9</v>
      </c>
      <c r="G352">
        <v>0.7</v>
      </c>
      <c r="H352">
        <v>6</v>
      </c>
      <c r="I352" s="1">
        <v>4990560</v>
      </c>
      <c r="J352" s="2">
        <v>1</v>
      </c>
      <c r="K352" s="1"/>
      <c r="L352" s="1"/>
    </row>
    <row r="353" spans="1:12">
      <c r="A353">
        <v>1</v>
      </c>
      <c r="B353">
        <v>0</v>
      </c>
      <c r="C353">
        <v>1</v>
      </c>
      <c r="D353">
        <v>64</v>
      </c>
      <c r="E353">
        <v>15.3</v>
      </c>
      <c r="F353">
        <v>1.5</v>
      </c>
      <c r="G353">
        <v>1.3</v>
      </c>
      <c r="H353">
        <v>6</v>
      </c>
      <c r="I353" s="1">
        <v>2048494</v>
      </c>
      <c r="J353" s="2">
        <v>1</v>
      </c>
      <c r="K353" s="1"/>
      <c r="L353" s="1"/>
    </row>
    <row r="354" spans="1:12">
      <c r="A354">
        <v>0</v>
      </c>
      <c r="B354">
        <v>1</v>
      </c>
      <c r="C354">
        <v>0</v>
      </c>
      <c r="D354">
        <v>1</v>
      </c>
      <c r="E354">
        <v>25</v>
      </c>
      <c r="F354">
        <v>0</v>
      </c>
      <c r="G354">
        <v>1</v>
      </c>
      <c r="H354">
        <v>6</v>
      </c>
      <c r="I354" s="1">
        <v>14631</v>
      </c>
      <c r="J354" s="2">
        <v>1</v>
      </c>
      <c r="K354" s="1"/>
      <c r="L354" s="1"/>
    </row>
    <row r="355" spans="1:12">
      <c r="A355">
        <v>1</v>
      </c>
      <c r="B355">
        <v>0</v>
      </c>
      <c r="C355">
        <v>1</v>
      </c>
      <c r="D355">
        <v>37</v>
      </c>
      <c r="E355">
        <v>15.5</v>
      </c>
      <c r="F355">
        <v>4</v>
      </c>
      <c r="G355">
        <v>0.7</v>
      </c>
      <c r="H355">
        <v>6</v>
      </c>
      <c r="I355" s="1">
        <v>7863240</v>
      </c>
      <c r="J355" s="2">
        <v>0</v>
      </c>
      <c r="K355" s="1"/>
      <c r="L355" s="1"/>
    </row>
    <row r="356" spans="1:12">
      <c r="A356">
        <v>1</v>
      </c>
      <c r="B356">
        <v>0</v>
      </c>
      <c r="C356">
        <v>0</v>
      </c>
      <c r="D356">
        <v>64</v>
      </c>
      <c r="E356">
        <v>15.2</v>
      </c>
      <c r="F356">
        <v>5</v>
      </c>
      <c r="G356">
        <v>1.3</v>
      </c>
      <c r="H356">
        <v>5.9</v>
      </c>
      <c r="I356" s="1">
        <v>8333333</v>
      </c>
      <c r="J356" s="2">
        <v>0</v>
      </c>
      <c r="K356" s="1"/>
      <c r="L356" s="1"/>
    </row>
    <row r="357" spans="1:12">
      <c r="A357">
        <v>0</v>
      </c>
      <c r="B357">
        <v>0</v>
      </c>
      <c r="C357">
        <v>0</v>
      </c>
      <c r="D357">
        <v>13</v>
      </c>
      <c r="E357">
        <v>11.8</v>
      </c>
      <c r="F357">
        <v>4.4000000000000004</v>
      </c>
      <c r="G357">
        <v>0.5</v>
      </c>
      <c r="H357">
        <v>5.8</v>
      </c>
      <c r="I357" s="1">
        <v>113171</v>
      </c>
      <c r="J357" s="2">
        <v>0</v>
      </c>
      <c r="K357" s="1"/>
      <c r="L357" s="1"/>
    </row>
    <row r="358" spans="1:12">
      <c r="A358">
        <v>1</v>
      </c>
      <c r="B358">
        <v>0</v>
      </c>
      <c r="C358">
        <v>1</v>
      </c>
      <c r="D358">
        <v>61</v>
      </c>
      <c r="E358">
        <v>15.8</v>
      </c>
      <c r="F358">
        <v>3</v>
      </c>
      <c r="G358">
        <v>1.3</v>
      </c>
      <c r="H358">
        <v>5.8</v>
      </c>
      <c r="I358" s="1">
        <v>2654880</v>
      </c>
      <c r="J358" s="2">
        <v>1</v>
      </c>
      <c r="K358" s="1"/>
      <c r="L358" s="1"/>
    </row>
    <row r="359" spans="1:12">
      <c r="A359">
        <v>1</v>
      </c>
      <c r="B359">
        <v>0</v>
      </c>
      <c r="C359">
        <v>0</v>
      </c>
      <c r="D359">
        <v>48</v>
      </c>
      <c r="E359">
        <v>14.6</v>
      </c>
      <c r="F359">
        <v>5.0999999999999996</v>
      </c>
      <c r="G359">
        <v>0.3</v>
      </c>
      <c r="H359">
        <v>5.8</v>
      </c>
      <c r="I359" s="1">
        <v>5000000</v>
      </c>
      <c r="J359" s="2">
        <v>0</v>
      </c>
      <c r="K359" s="1"/>
      <c r="L359" s="1"/>
    </row>
    <row r="360" spans="1:12">
      <c r="A360">
        <v>0</v>
      </c>
      <c r="B360">
        <v>0</v>
      </c>
      <c r="C360">
        <v>0</v>
      </c>
      <c r="D360">
        <v>32</v>
      </c>
      <c r="E360">
        <v>22.8</v>
      </c>
      <c r="F360">
        <v>8.6</v>
      </c>
      <c r="G360">
        <v>1.5</v>
      </c>
      <c r="H360">
        <v>5.8</v>
      </c>
      <c r="I360" s="1">
        <v>14130434</v>
      </c>
      <c r="J360" s="2">
        <v>0</v>
      </c>
      <c r="K360" s="1"/>
      <c r="L360" s="1"/>
    </row>
    <row r="361" spans="1:12">
      <c r="A361">
        <v>0</v>
      </c>
      <c r="B361">
        <v>0</v>
      </c>
      <c r="C361">
        <v>0</v>
      </c>
      <c r="D361">
        <v>42</v>
      </c>
      <c r="E361">
        <v>11.6</v>
      </c>
      <c r="F361">
        <v>3</v>
      </c>
      <c r="G361">
        <v>0.7</v>
      </c>
      <c r="H361">
        <v>5.8</v>
      </c>
      <c r="I361" s="1">
        <v>85300</v>
      </c>
      <c r="J361" s="2">
        <v>1</v>
      </c>
      <c r="K361" s="1"/>
      <c r="L361" s="1"/>
    </row>
    <row r="362" spans="1:12">
      <c r="A362">
        <v>0</v>
      </c>
      <c r="B362">
        <v>0</v>
      </c>
      <c r="C362">
        <v>1</v>
      </c>
      <c r="D362">
        <v>70</v>
      </c>
      <c r="E362">
        <v>19.399999999999999</v>
      </c>
      <c r="F362">
        <v>4.2</v>
      </c>
      <c r="G362">
        <v>1.5</v>
      </c>
      <c r="H362">
        <v>5.8</v>
      </c>
      <c r="I362" s="1">
        <v>2657760</v>
      </c>
      <c r="J362" s="2">
        <v>1</v>
      </c>
      <c r="K362" s="1"/>
      <c r="L362" s="1"/>
    </row>
    <row r="363" spans="1:12">
      <c r="A363">
        <v>1</v>
      </c>
      <c r="B363">
        <v>0</v>
      </c>
      <c r="C363">
        <v>1</v>
      </c>
      <c r="D363">
        <v>55</v>
      </c>
      <c r="E363">
        <v>17.3</v>
      </c>
      <c r="F363">
        <v>2.9</v>
      </c>
      <c r="G363">
        <v>1.3</v>
      </c>
      <c r="H363">
        <v>5.8</v>
      </c>
      <c r="I363" s="1">
        <v>2667947</v>
      </c>
      <c r="J363" s="2">
        <v>1</v>
      </c>
      <c r="K363" s="1"/>
      <c r="L363" s="1"/>
    </row>
    <row r="364" spans="1:12">
      <c r="A364">
        <v>0</v>
      </c>
      <c r="B364">
        <v>0</v>
      </c>
      <c r="C364">
        <v>1</v>
      </c>
      <c r="D364">
        <v>57</v>
      </c>
      <c r="E364">
        <v>23.4</v>
      </c>
      <c r="F364">
        <v>3.6</v>
      </c>
      <c r="G364">
        <v>1.4</v>
      </c>
      <c r="H364">
        <v>5.8</v>
      </c>
      <c r="I364" s="1">
        <v>3132000</v>
      </c>
      <c r="J364" s="2">
        <v>1</v>
      </c>
      <c r="K364" s="1"/>
      <c r="L364" s="1"/>
    </row>
    <row r="365" spans="1:12">
      <c r="A365">
        <v>0</v>
      </c>
      <c r="B365">
        <v>1</v>
      </c>
      <c r="C365">
        <v>0</v>
      </c>
      <c r="D365">
        <v>30</v>
      </c>
      <c r="E365">
        <v>16</v>
      </c>
      <c r="F365">
        <v>2</v>
      </c>
      <c r="G365">
        <v>0.9</v>
      </c>
      <c r="H365">
        <v>5.8</v>
      </c>
      <c r="I365" s="1">
        <v>11550000</v>
      </c>
      <c r="J365" s="2">
        <v>1</v>
      </c>
      <c r="K365" s="1"/>
      <c r="L365" s="1"/>
    </row>
    <row r="366" spans="1:12">
      <c r="A366">
        <v>1</v>
      </c>
      <c r="B366">
        <v>0</v>
      </c>
      <c r="C366">
        <v>1</v>
      </c>
      <c r="D366">
        <v>64</v>
      </c>
      <c r="E366">
        <v>15.7</v>
      </c>
      <c r="F366">
        <v>2.9</v>
      </c>
      <c r="G366">
        <v>0.8</v>
      </c>
      <c r="H366">
        <v>5.8</v>
      </c>
      <c r="I366" s="1">
        <v>718150</v>
      </c>
      <c r="J366" s="2">
        <v>1</v>
      </c>
      <c r="K366" s="1"/>
      <c r="L366" s="1"/>
    </row>
    <row r="367" spans="1:12">
      <c r="A367">
        <v>1</v>
      </c>
      <c r="B367">
        <v>0</v>
      </c>
      <c r="C367">
        <v>1</v>
      </c>
      <c r="D367">
        <v>59</v>
      </c>
      <c r="E367">
        <v>22.3</v>
      </c>
      <c r="F367">
        <v>4.2</v>
      </c>
      <c r="G367">
        <v>1.5</v>
      </c>
      <c r="H367">
        <v>5.8</v>
      </c>
      <c r="I367" s="1">
        <v>6623456</v>
      </c>
      <c r="J367" s="2">
        <v>1</v>
      </c>
      <c r="K367" s="1"/>
      <c r="L367" s="1"/>
    </row>
    <row r="368" spans="1:12">
      <c r="A368">
        <v>0</v>
      </c>
      <c r="B368">
        <v>1</v>
      </c>
      <c r="C368">
        <v>0</v>
      </c>
      <c r="D368">
        <v>46</v>
      </c>
      <c r="E368">
        <v>14</v>
      </c>
      <c r="F368">
        <v>1.8</v>
      </c>
      <c r="G368">
        <v>1.8</v>
      </c>
      <c r="H368">
        <v>5.7</v>
      </c>
      <c r="I368" s="1">
        <v>574210</v>
      </c>
      <c r="J368" s="2">
        <v>1</v>
      </c>
      <c r="K368" s="1"/>
      <c r="L368" s="1"/>
    </row>
    <row r="369" spans="1:12">
      <c r="A369">
        <v>1</v>
      </c>
      <c r="B369">
        <v>0</v>
      </c>
      <c r="C369">
        <v>1</v>
      </c>
      <c r="D369">
        <v>26</v>
      </c>
      <c r="E369">
        <v>13.4</v>
      </c>
      <c r="F369">
        <v>2.7</v>
      </c>
      <c r="G369">
        <v>0.9</v>
      </c>
      <c r="H369">
        <v>5.7</v>
      </c>
      <c r="I369" s="1">
        <v>792198</v>
      </c>
      <c r="J369" s="2">
        <v>1</v>
      </c>
      <c r="K369" s="1"/>
      <c r="L369" s="1"/>
    </row>
    <row r="370" spans="1:12">
      <c r="A370">
        <v>0</v>
      </c>
      <c r="B370">
        <v>0</v>
      </c>
      <c r="C370">
        <v>1</v>
      </c>
      <c r="D370">
        <v>62</v>
      </c>
      <c r="E370">
        <v>14.7</v>
      </c>
      <c r="F370">
        <v>3.7</v>
      </c>
      <c r="G370">
        <v>0.8</v>
      </c>
      <c r="H370">
        <v>5.7</v>
      </c>
      <c r="I370" s="1">
        <v>1830377</v>
      </c>
      <c r="J370" s="2">
        <v>0</v>
      </c>
      <c r="K370" s="1"/>
      <c r="L370" s="1"/>
    </row>
    <row r="371" spans="1:12">
      <c r="A371">
        <v>0</v>
      </c>
      <c r="B371">
        <v>0</v>
      </c>
      <c r="C371">
        <v>1</v>
      </c>
      <c r="D371">
        <v>29</v>
      </c>
      <c r="E371">
        <v>15.1</v>
      </c>
      <c r="F371">
        <v>1.3</v>
      </c>
      <c r="G371">
        <v>0.8</v>
      </c>
      <c r="H371">
        <v>5.7</v>
      </c>
      <c r="I371" s="1">
        <v>3634153</v>
      </c>
      <c r="J371" s="2">
        <v>1</v>
      </c>
      <c r="K371" s="1"/>
      <c r="L371" s="1"/>
    </row>
    <row r="372" spans="1:12">
      <c r="A372">
        <v>0</v>
      </c>
      <c r="B372">
        <v>0</v>
      </c>
      <c r="C372">
        <v>0</v>
      </c>
      <c r="D372">
        <v>66</v>
      </c>
      <c r="E372">
        <v>19.7</v>
      </c>
      <c r="F372">
        <v>5.8</v>
      </c>
      <c r="G372">
        <v>1.3</v>
      </c>
      <c r="H372">
        <v>5.7</v>
      </c>
      <c r="I372" s="1">
        <v>3353040</v>
      </c>
      <c r="J372" s="2">
        <v>0</v>
      </c>
      <c r="K372" s="1"/>
      <c r="L372" s="1"/>
    </row>
    <row r="373" spans="1:12">
      <c r="A373">
        <v>1</v>
      </c>
      <c r="B373">
        <v>0</v>
      </c>
      <c r="C373">
        <v>0</v>
      </c>
      <c r="D373">
        <v>60</v>
      </c>
      <c r="E373">
        <v>19.600000000000001</v>
      </c>
      <c r="F373">
        <v>8.8000000000000007</v>
      </c>
      <c r="G373">
        <v>0.9</v>
      </c>
      <c r="H373">
        <v>5.7</v>
      </c>
      <c r="I373" s="1">
        <v>12954546</v>
      </c>
      <c r="J373" s="2">
        <v>1</v>
      </c>
      <c r="K373" s="1"/>
      <c r="L373" s="1"/>
    </row>
    <row r="374" spans="1:12">
      <c r="A374">
        <v>1</v>
      </c>
      <c r="B374">
        <v>0</v>
      </c>
      <c r="C374">
        <v>0</v>
      </c>
      <c r="D374">
        <v>67</v>
      </c>
      <c r="E374">
        <v>15</v>
      </c>
      <c r="F374">
        <v>3.5</v>
      </c>
      <c r="G374">
        <v>0.9</v>
      </c>
      <c r="H374">
        <v>5.6</v>
      </c>
      <c r="I374" s="1">
        <v>5500000</v>
      </c>
      <c r="J374" s="2">
        <v>0</v>
      </c>
      <c r="K374" s="1"/>
      <c r="L374" s="1"/>
    </row>
    <row r="375" spans="1:12">
      <c r="A375">
        <v>0</v>
      </c>
      <c r="B375">
        <v>1</v>
      </c>
      <c r="C375">
        <v>0</v>
      </c>
      <c r="D375">
        <v>43</v>
      </c>
      <c r="E375">
        <v>12.5</v>
      </c>
      <c r="F375">
        <v>1.1000000000000001</v>
      </c>
      <c r="G375">
        <v>0.9</v>
      </c>
      <c r="H375">
        <v>5.6</v>
      </c>
      <c r="I375" s="1">
        <v>2674080</v>
      </c>
      <c r="J375" s="2">
        <v>1</v>
      </c>
      <c r="K375" s="1"/>
      <c r="L375" s="1"/>
    </row>
    <row r="376" spans="1:12">
      <c r="A376">
        <v>1</v>
      </c>
      <c r="B376">
        <v>1</v>
      </c>
      <c r="C376">
        <v>0</v>
      </c>
      <c r="D376">
        <v>70</v>
      </c>
      <c r="E376">
        <v>16.3</v>
      </c>
      <c r="F376">
        <v>2.5</v>
      </c>
      <c r="G376">
        <v>2.6</v>
      </c>
      <c r="H376">
        <v>5.6</v>
      </c>
      <c r="I376" s="1">
        <v>2378870</v>
      </c>
      <c r="J376" s="2">
        <v>1</v>
      </c>
      <c r="K376" s="1"/>
      <c r="L376" s="1"/>
    </row>
    <row r="377" spans="1:12">
      <c r="A377">
        <v>1</v>
      </c>
      <c r="B377">
        <v>1</v>
      </c>
      <c r="C377">
        <v>0</v>
      </c>
      <c r="D377">
        <v>6</v>
      </c>
      <c r="E377">
        <v>12.3</v>
      </c>
      <c r="F377">
        <v>0.3</v>
      </c>
      <c r="G377">
        <v>0.5</v>
      </c>
      <c r="H377">
        <v>5.5</v>
      </c>
      <c r="I377" s="1">
        <v>3634153</v>
      </c>
      <c r="J377" s="2">
        <v>1</v>
      </c>
      <c r="K377" s="1"/>
      <c r="L377" s="1"/>
    </row>
    <row r="378" spans="1:12">
      <c r="A378">
        <v>0</v>
      </c>
      <c r="B378">
        <v>1</v>
      </c>
      <c r="C378">
        <v>0</v>
      </c>
      <c r="D378">
        <v>23</v>
      </c>
      <c r="E378">
        <v>17.7</v>
      </c>
      <c r="F378">
        <v>2.2999999999999998</v>
      </c>
      <c r="G378">
        <v>3.5</v>
      </c>
      <c r="H378">
        <v>5.5</v>
      </c>
      <c r="I378" s="1">
        <v>444658</v>
      </c>
      <c r="J378" s="2">
        <v>1</v>
      </c>
      <c r="K378" s="1"/>
      <c r="L378" s="1"/>
    </row>
    <row r="379" spans="1:12">
      <c r="A379">
        <v>0</v>
      </c>
      <c r="B379">
        <v>1</v>
      </c>
      <c r="C379">
        <v>0</v>
      </c>
      <c r="D379">
        <v>57</v>
      </c>
      <c r="E379">
        <v>13.7</v>
      </c>
      <c r="F379">
        <v>1</v>
      </c>
      <c r="G379">
        <v>1.1000000000000001</v>
      </c>
      <c r="H379">
        <v>5.5</v>
      </c>
      <c r="I379" s="1">
        <v>3080921</v>
      </c>
      <c r="J379" s="2">
        <v>1</v>
      </c>
      <c r="K379" s="1"/>
      <c r="L379" s="1"/>
    </row>
    <row r="380" spans="1:12">
      <c r="A380">
        <v>1</v>
      </c>
      <c r="B380">
        <v>0</v>
      </c>
      <c r="C380">
        <v>1</v>
      </c>
      <c r="D380">
        <v>55</v>
      </c>
      <c r="E380">
        <v>12.6</v>
      </c>
      <c r="F380">
        <v>1.6</v>
      </c>
      <c r="G380">
        <v>0.8</v>
      </c>
      <c r="H380">
        <v>5.5</v>
      </c>
      <c r="I380" s="1">
        <v>5529720</v>
      </c>
      <c r="J380" s="2">
        <v>1</v>
      </c>
      <c r="K380" s="1"/>
      <c r="L380" s="1"/>
    </row>
    <row r="381" spans="1:12">
      <c r="A381">
        <v>0</v>
      </c>
      <c r="B381">
        <v>0</v>
      </c>
      <c r="C381">
        <v>1</v>
      </c>
      <c r="D381">
        <v>64</v>
      </c>
      <c r="E381">
        <v>22.1</v>
      </c>
      <c r="F381">
        <v>3.3</v>
      </c>
      <c r="G381">
        <v>0.8</v>
      </c>
      <c r="H381">
        <v>5.5</v>
      </c>
      <c r="I381" s="1">
        <v>623967</v>
      </c>
      <c r="J381" s="2">
        <v>1</v>
      </c>
      <c r="K381" s="1"/>
      <c r="L381" s="1"/>
    </row>
    <row r="382" spans="1:12">
      <c r="A382">
        <v>1</v>
      </c>
      <c r="B382">
        <v>1</v>
      </c>
      <c r="C382">
        <v>0</v>
      </c>
      <c r="D382">
        <v>53</v>
      </c>
      <c r="E382">
        <v>12.6</v>
      </c>
      <c r="F382">
        <v>1.7</v>
      </c>
      <c r="G382">
        <v>1.6</v>
      </c>
      <c r="H382">
        <v>5.5</v>
      </c>
      <c r="I382" s="1">
        <v>8000000</v>
      </c>
      <c r="J382" s="2">
        <v>1</v>
      </c>
      <c r="K382" s="1"/>
      <c r="L382" s="1"/>
    </row>
    <row r="383" spans="1:12">
      <c r="A383">
        <v>1</v>
      </c>
      <c r="B383">
        <v>1</v>
      </c>
      <c r="C383">
        <v>0</v>
      </c>
      <c r="D383">
        <v>77</v>
      </c>
      <c r="E383">
        <v>18.600000000000001</v>
      </c>
      <c r="F383">
        <v>3.5</v>
      </c>
      <c r="G383">
        <v>1.5</v>
      </c>
      <c r="H383">
        <v>5.5</v>
      </c>
      <c r="I383" s="1">
        <v>2619000</v>
      </c>
      <c r="J383" s="2">
        <v>1</v>
      </c>
      <c r="K383" s="1"/>
      <c r="L383" s="1"/>
    </row>
    <row r="384" spans="1:12">
      <c r="A384">
        <v>1</v>
      </c>
      <c r="B384">
        <v>0</v>
      </c>
      <c r="C384">
        <v>1</v>
      </c>
      <c r="D384">
        <v>40</v>
      </c>
      <c r="E384">
        <v>12.2</v>
      </c>
      <c r="F384">
        <v>2</v>
      </c>
      <c r="G384">
        <v>0.7</v>
      </c>
      <c r="H384">
        <v>5.4</v>
      </c>
      <c r="I384" s="1">
        <v>328120</v>
      </c>
      <c r="J384" s="2">
        <v>1</v>
      </c>
      <c r="K384" s="1"/>
      <c r="L384" s="1"/>
    </row>
    <row r="385" spans="1:12">
      <c r="A385">
        <v>0</v>
      </c>
      <c r="B385">
        <v>0</v>
      </c>
      <c r="C385">
        <v>0</v>
      </c>
      <c r="D385">
        <v>44</v>
      </c>
      <c r="E385">
        <v>20.6</v>
      </c>
      <c r="F385">
        <v>7.5</v>
      </c>
      <c r="G385">
        <v>1.4</v>
      </c>
      <c r="H385">
        <v>5.4</v>
      </c>
      <c r="I385" s="1">
        <v>871000</v>
      </c>
      <c r="J385" s="2">
        <v>1</v>
      </c>
      <c r="K385" s="1"/>
      <c r="L385" s="1"/>
    </row>
    <row r="386" spans="1:12">
      <c r="A386">
        <v>0</v>
      </c>
      <c r="B386">
        <v>0</v>
      </c>
      <c r="C386">
        <v>1</v>
      </c>
      <c r="D386">
        <v>7</v>
      </c>
      <c r="E386">
        <v>13</v>
      </c>
      <c r="F386">
        <v>1.9</v>
      </c>
      <c r="G386">
        <v>1</v>
      </c>
      <c r="H386">
        <v>5.4</v>
      </c>
      <c r="I386" s="1">
        <v>827984</v>
      </c>
      <c r="J386" s="2">
        <v>1</v>
      </c>
      <c r="K386" s="1"/>
      <c r="L386" s="1"/>
    </row>
    <row r="387" spans="1:12">
      <c r="A387">
        <v>1</v>
      </c>
      <c r="B387">
        <v>1</v>
      </c>
      <c r="C387">
        <v>0</v>
      </c>
      <c r="D387">
        <v>82</v>
      </c>
      <c r="E387">
        <v>22.5</v>
      </c>
      <c r="F387">
        <v>3.5</v>
      </c>
      <c r="G387">
        <v>2</v>
      </c>
      <c r="H387">
        <v>5.4</v>
      </c>
      <c r="I387" s="1">
        <v>2296274</v>
      </c>
      <c r="J387" s="2">
        <v>1</v>
      </c>
      <c r="K387" s="1"/>
      <c r="L387" s="1"/>
    </row>
    <row r="388" spans="1:12">
      <c r="A388">
        <v>1</v>
      </c>
      <c r="B388">
        <v>0</v>
      </c>
      <c r="C388">
        <v>1</v>
      </c>
      <c r="D388">
        <v>47</v>
      </c>
      <c r="E388">
        <v>15.7</v>
      </c>
      <c r="F388">
        <v>2.7</v>
      </c>
      <c r="G388">
        <v>1</v>
      </c>
      <c r="H388">
        <v>5.4</v>
      </c>
      <c r="I388" s="1">
        <v>600000</v>
      </c>
      <c r="J388" s="2">
        <v>1</v>
      </c>
      <c r="K388" s="1"/>
      <c r="L388" s="1"/>
    </row>
    <row r="389" spans="1:12">
      <c r="A389">
        <v>1</v>
      </c>
      <c r="B389">
        <v>1</v>
      </c>
      <c r="C389">
        <v>0</v>
      </c>
      <c r="D389">
        <v>50</v>
      </c>
      <c r="E389">
        <v>10.9</v>
      </c>
      <c r="F389">
        <v>1.3</v>
      </c>
      <c r="G389">
        <v>1.5</v>
      </c>
      <c r="H389">
        <v>5.4</v>
      </c>
      <c r="I389" s="1">
        <v>1272870</v>
      </c>
      <c r="J389" s="2">
        <v>0</v>
      </c>
      <c r="K389" s="1"/>
      <c r="L389" s="1"/>
    </row>
    <row r="390" spans="1:12">
      <c r="A390">
        <v>1</v>
      </c>
      <c r="B390">
        <v>0</v>
      </c>
      <c r="C390">
        <v>1</v>
      </c>
      <c r="D390">
        <v>68</v>
      </c>
      <c r="E390">
        <v>17.8</v>
      </c>
      <c r="F390">
        <v>4</v>
      </c>
      <c r="G390">
        <v>0.8</v>
      </c>
      <c r="H390">
        <v>5.4</v>
      </c>
      <c r="I390" s="1">
        <v>2221677</v>
      </c>
      <c r="J390" s="2">
        <v>1</v>
      </c>
      <c r="K390" s="1"/>
      <c r="L390" s="1"/>
    </row>
    <row r="391" spans="1:12">
      <c r="A391">
        <v>0</v>
      </c>
      <c r="B391">
        <v>1</v>
      </c>
      <c r="C391">
        <v>0</v>
      </c>
      <c r="D391">
        <v>9</v>
      </c>
      <c r="E391">
        <v>12.3</v>
      </c>
      <c r="F391">
        <v>1.2</v>
      </c>
      <c r="G391">
        <v>1</v>
      </c>
      <c r="H391">
        <v>5.2</v>
      </c>
      <c r="I391" s="1">
        <v>85300</v>
      </c>
      <c r="J391" s="2">
        <v>1</v>
      </c>
      <c r="K391" s="1"/>
      <c r="L391" s="1"/>
    </row>
    <row r="392" spans="1:12">
      <c r="A392">
        <v>0</v>
      </c>
      <c r="B392">
        <v>0</v>
      </c>
      <c r="C392">
        <v>0</v>
      </c>
      <c r="D392">
        <v>42</v>
      </c>
      <c r="E392">
        <v>13.1</v>
      </c>
      <c r="F392">
        <v>3</v>
      </c>
      <c r="G392">
        <v>0.5</v>
      </c>
      <c r="H392">
        <v>5.2</v>
      </c>
      <c r="I392" s="1">
        <v>3080921</v>
      </c>
      <c r="J392" s="2">
        <v>1</v>
      </c>
      <c r="K392" s="1"/>
      <c r="L392" s="1"/>
    </row>
    <row r="393" spans="1:12">
      <c r="A393">
        <v>0</v>
      </c>
      <c r="B393">
        <v>0</v>
      </c>
      <c r="C393">
        <v>1</v>
      </c>
      <c r="D393">
        <v>5</v>
      </c>
      <c r="E393">
        <v>33.799999999999997</v>
      </c>
      <c r="F393">
        <v>8.4</v>
      </c>
      <c r="G393">
        <v>2.8</v>
      </c>
      <c r="H393">
        <v>5.2</v>
      </c>
      <c r="I393" s="1">
        <v>73153</v>
      </c>
      <c r="J393" s="2">
        <v>0</v>
      </c>
      <c r="K393" s="1"/>
      <c r="L393" s="1"/>
    </row>
    <row r="394" spans="1:12">
      <c r="A394">
        <v>1</v>
      </c>
      <c r="B394">
        <v>1</v>
      </c>
      <c r="C394">
        <v>0</v>
      </c>
      <c r="D394">
        <v>15</v>
      </c>
      <c r="E394">
        <v>13.1</v>
      </c>
      <c r="F394">
        <v>1.1000000000000001</v>
      </c>
      <c r="G394">
        <v>0.7</v>
      </c>
      <c r="H394">
        <v>5.2</v>
      </c>
      <c r="I394" s="1">
        <v>297355</v>
      </c>
      <c r="J394" s="2">
        <v>1</v>
      </c>
      <c r="K394" s="1"/>
      <c r="L394" s="1"/>
    </row>
    <row r="395" spans="1:12">
      <c r="A395">
        <v>1</v>
      </c>
      <c r="B395">
        <v>0</v>
      </c>
      <c r="C395">
        <v>1</v>
      </c>
      <c r="D395">
        <v>44</v>
      </c>
      <c r="E395">
        <v>11.4</v>
      </c>
      <c r="F395">
        <v>2.2000000000000002</v>
      </c>
      <c r="G395">
        <v>0.6</v>
      </c>
      <c r="H395">
        <v>5.2</v>
      </c>
      <c r="I395" s="1">
        <v>3237480</v>
      </c>
      <c r="J395" s="2">
        <v>1</v>
      </c>
      <c r="K395" s="1"/>
      <c r="L395" s="1"/>
    </row>
    <row r="396" spans="1:12">
      <c r="A396">
        <v>0</v>
      </c>
      <c r="B396">
        <v>1</v>
      </c>
      <c r="C396">
        <v>0</v>
      </c>
      <c r="D396">
        <v>50</v>
      </c>
      <c r="E396">
        <v>16.100000000000001</v>
      </c>
      <c r="F396">
        <v>2.2999999999999998</v>
      </c>
      <c r="G396">
        <v>2.2999999999999998</v>
      </c>
      <c r="H396">
        <v>5.2</v>
      </c>
      <c r="I396" s="1">
        <v>2221677</v>
      </c>
      <c r="J396" s="2">
        <v>1</v>
      </c>
      <c r="K396" s="1"/>
      <c r="L396" s="1"/>
    </row>
    <row r="397" spans="1:12">
      <c r="A397">
        <v>1</v>
      </c>
      <c r="B397">
        <v>1</v>
      </c>
      <c r="C397">
        <v>0</v>
      </c>
      <c r="D397">
        <v>38</v>
      </c>
      <c r="E397">
        <v>12</v>
      </c>
      <c r="F397">
        <v>1</v>
      </c>
      <c r="G397">
        <v>2</v>
      </c>
      <c r="H397">
        <v>5.2</v>
      </c>
      <c r="I397" s="1">
        <v>2886720</v>
      </c>
      <c r="J397" s="2">
        <v>1</v>
      </c>
      <c r="K397" s="1"/>
      <c r="L397" s="1"/>
    </row>
    <row r="398" spans="1:12">
      <c r="A398">
        <v>0</v>
      </c>
      <c r="B398">
        <v>1</v>
      </c>
      <c r="C398">
        <v>0</v>
      </c>
      <c r="D398">
        <v>10</v>
      </c>
      <c r="E398">
        <v>16</v>
      </c>
      <c r="F398">
        <v>1.9</v>
      </c>
      <c r="G398">
        <v>4.4000000000000004</v>
      </c>
      <c r="H398">
        <v>5.2</v>
      </c>
      <c r="I398" s="1">
        <v>5182920</v>
      </c>
      <c r="J398" s="2">
        <v>0</v>
      </c>
      <c r="K398" s="1"/>
      <c r="L398" s="1"/>
    </row>
    <row r="399" spans="1:12">
      <c r="A399">
        <v>1</v>
      </c>
      <c r="B399">
        <v>1</v>
      </c>
      <c r="C399">
        <v>0</v>
      </c>
      <c r="D399">
        <v>62</v>
      </c>
      <c r="E399">
        <v>15.7</v>
      </c>
      <c r="F399">
        <v>2.2999999999999998</v>
      </c>
      <c r="G399">
        <v>0.8</v>
      </c>
      <c r="H399">
        <v>5.0999999999999996</v>
      </c>
      <c r="I399" s="1">
        <v>6383525</v>
      </c>
      <c r="J399" s="2">
        <v>1</v>
      </c>
      <c r="K399" s="1"/>
      <c r="L399" s="1"/>
    </row>
    <row r="400" spans="1:12">
      <c r="A400">
        <v>0</v>
      </c>
      <c r="B400">
        <v>0</v>
      </c>
      <c r="C400">
        <v>1</v>
      </c>
      <c r="D400">
        <v>75</v>
      </c>
      <c r="E400">
        <v>19.100000000000001</v>
      </c>
      <c r="F400">
        <v>2.2000000000000002</v>
      </c>
      <c r="G400">
        <v>1.5</v>
      </c>
      <c r="H400">
        <v>5.0999999999999996</v>
      </c>
      <c r="I400" s="1">
        <v>686243</v>
      </c>
      <c r="J400" s="2">
        <v>0</v>
      </c>
      <c r="K400" s="1"/>
      <c r="L400" s="1"/>
    </row>
    <row r="401" spans="1:12">
      <c r="A401">
        <v>1</v>
      </c>
      <c r="B401">
        <v>1</v>
      </c>
      <c r="C401">
        <v>0</v>
      </c>
      <c r="D401">
        <v>35</v>
      </c>
      <c r="E401">
        <v>18.399999999999999</v>
      </c>
      <c r="F401">
        <v>4.4000000000000004</v>
      </c>
      <c r="G401">
        <v>1.2</v>
      </c>
      <c r="H401">
        <v>5.0999999999999996</v>
      </c>
      <c r="I401" s="1">
        <v>1955377</v>
      </c>
      <c r="J401" s="2">
        <v>0</v>
      </c>
      <c r="K401" s="1"/>
      <c r="L401" s="1"/>
    </row>
    <row r="402" spans="1:12">
      <c r="A402">
        <v>0</v>
      </c>
      <c r="B402">
        <v>1</v>
      </c>
      <c r="C402">
        <v>0</v>
      </c>
      <c r="D402">
        <v>51</v>
      </c>
      <c r="E402">
        <v>13.6</v>
      </c>
      <c r="F402">
        <v>1.7</v>
      </c>
      <c r="G402">
        <v>0.8</v>
      </c>
      <c r="H402">
        <v>5.0999999999999996</v>
      </c>
      <c r="I402" s="1">
        <v>4741320</v>
      </c>
      <c r="J402" s="2">
        <v>1</v>
      </c>
      <c r="K402" s="1"/>
      <c r="L402" s="1"/>
    </row>
    <row r="403" spans="1:12">
      <c r="A403">
        <v>1</v>
      </c>
      <c r="B403">
        <v>0</v>
      </c>
      <c r="C403">
        <v>0</v>
      </c>
      <c r="D403">
        <v>67</v>
      </c>
      <c r="E403">
        <v>19.7</v>
      </c>
      <c r="F403">
        <v>5.5</v>
      </c>
      <c r="G403">
        <v>1.6</v>
      </c>
      <c r="H403">
        <v>5</v>
      </c>
      <c r="I403" s="1">
        <v>2461463</v>
      </c>
      <c r="J403" s="2">
        <v>1</v>
      </c>
      <c r="K403" s="1"/>
      <c r="L403" s="1"/>
    </row>
    <row r="404" spans="1:12">
      <c r="A404">
        <v>1</v>
      </c>
      <c r="B404">
        <v>0</v>
      </c>
      <c r="C404">
        <v>0</v>
      </c>
      <c r="D404">
        <v>71</v>
      </c>
      <c r="E404">
        <v>17.399999999999999</v>
      </c>
      <c r="F404">
        <v>4.3</v>
      </c>
      <c r="G404">
        <v>0.5</v>
      </c>
      <c r="H404">
        <v>4.8</v>
      </c>
      <c r="I404" s="1">
        <v>1955377</v>
      </c>
      <c r="J404" s="2">
        <v>0</v>
      </c>
      <c r="K404" s="1"/>
      <c r="L404" s="1"/>
    </row>
    <row r="405" spans="1:12">
      <c r="A405">
        <v>0</v>
      </c>
      <c r="B405">
        <v>1</v>
      </c>
      <c r="C405">
        <v>0</v>
      </c>
      <c r="D405">
        <v>31</v>
      </c>
      <c r="E405">
        <v>11.6</v>
      </c>
      <c r="F405">
        <v>1.3</v>
      </c>
      <c r="G405">
        <v>2</v>
      </c>
      <c r="H405">
        <v>4.8</v>
      </c>
      <c r="I405" s="1">
        <v>2378870</v>
      </c>
      <c r="J405" s="2">
        <v>1</v>
      </c>
      <c r="K405" s="1"/>
      <c r="L405" s="1"/>
    </row>
    <row r="406" spans="1:12">
      <c r="A406">
        <v>0</v>
      </c>
      <c r="B406">
        <v>0</v>
      </c>
      <c r="C406">
        <v>1</v>
      </c>
      <c r="D406">
        <v>12</v>
      </c>
      <c r="E406">
        <v>13.8</v>
      </c>
      <c r="F406">
        <v>2.8</v>
      </c>
      <c r="G406">
        <v>0.4</v>
      </c>
      <c r="H406">
        <v>4.7</v>
      </c>
      <c r="I406" s="1">
        <v>2197957</v>
      </c>
      <c r="J406" s="2">
        <v>1</v>
      </c>
      <c r="K406" s="1"/>
      <c r="L406" s="1"/>
    </row>
    <row r="407" spans="1:12">
      <c r="A407">
        <v>1</v>
      </c>
      <c r="B407">
        <v>1</v>
      </c>
      <c r="C407">
        <v>0</v>
      </c>
      <c r="D407">
        <v>35</v>
      </c>
      <c r="E407">
        <v>20.8</v>
      </c>
      <c r="F407">
        <v>4</v>
      </c>
      <c r="G407">
        <v>3.9</v>
      </c>
      <c r="H407">
        <v>4.5999999999999996</v>
      </c>
      <c r="I407" s="1">
        <v>10000000</v>
      </c>
      <c r="J407" s="2">
        <v>1</v>
      </c>
      <c r="K407" s="1"/>
      <c r="L407" s="1"/>
    </row>
    <row r="408" spans="1:12">
      <c r="A408">
        <v>1</v>
      </c>
      <c r="B408">
        <v>1</v>
      </c>
      <c r="C408">
        <v>0</v>
      </c>
      <c r="D408">
        <v>28</v>
      </c>
      <c r="E408">
        <v>9.8000000000000007</v>
      </c>
      <c r="F408">
        <v>1.6</v>
      </c>
      <c r="G408">
        <v>0.8</v>
      </c>
      <c r="H408">
        <v>4.5999999999999996</v>
      </c>
      <c r="I408" s="1">
        <v>4933515</v>
      </c>
      <c r="J408" s="2">
        <v>1</v>
      </c>
      <c r="K408" s="1"/>
      <c r="L408" s="1"/>
    </row>
    <row r="409" spans="1:12">
      <c r="A409">
        <v>0</v>
      </c>
      <c r="B409">
        <v>1</v>
      </c>
      <c r="C409">
        <v>0</v>
      </c>
      <c r="D409">
        <v>5</v>
      </c>
      <c r="E409">
        <v>8.6</v>
      </c>
      <c r="F409">
        <v>0.6</v>
      </c>
      <c r="G409">
        <v>1.8</v>
      </c>
      <c r="H409">
        <v>4.5999999999999996</v>
      </c>
      <c r="I409" s="1">
        <v>157280</v>
      </c>
      <c r="J409" s="2">
        <v>1</v>
      </c>
      <c r="K409" s="1"/>
      <c r="L409" s="1"/>
    </row>
    <row r="410" spans="1:12">
      <c r="A410">
        <v>1</v>
      </c>
      <c r="B410">
        <v>0</v>
      </c>
      <c r="C410">
        <v>0</v>
      </c>
      <c r="D410">
        <v>19</v>
      </c>
      <c r="E410">
        <v>11.3</v>
      </c>
      <c r="F410">
        <v>3.9</v>
      </c>
      <c r="G410">
        <v>0.5</v>
      </c>
      <c r="H410">
        <v>4.5</v>
      </c>
      <c r="I410" s="1">
        <v>85300</v>
      </c>
      <c r="J410" s="2">
        <v>1</v>
      </c>
      <c r="K410" s="1"/>
      <c r="L410" s="1"/>
    </row>
    <row r="411" spans="1:12">
      <c r="A411">
        <v>0</v>
      </c>
      <c r="B411">
        <v>0</v>
      </c>
      <c r="C411">
        <v>0</v>
      </c>
      <c r="D411">
        <v>38</v>
      </c>
      <c r="E411">
        <v>13.9</v>
      </c>
      <c r="F411">
        <v>5.7</v>
      </c>
      <c r="G411">
        <v>0.2</v>
      </c>
      <c r="H411">
        <v>4.5</v>
      </c>
      <c r="I411" s="1">
        <v>85300</v>
      </c>
      <c r="J411" s="2">
        <v>0</v>
      </c>
      <c r="K411" s="1"/>
      <c r="L411" s="1"/>
    </row>
    <row r="412" spans="1:12">
      <c r="A412">
        <v>0</v>
      </c>
      <c r="B412">
        <v>1</v>
      </c>
      <c r="C412">
        <v>0</v>
      </c>
      <c r="D412">
        <v>54</v>
      </c>
      <c r="E412">
        <v>18.399999999999999</v>
      </c>
      <c r="F412">
        <v>1.7</v>
      </c>
      <c r="G412">
        <v>2.9</v>
      </c>
      <c r="H412">
        <v>4.5</v>
      </c>
      <c r="I412" s="1">
        <v>1148727</v>
      </c>
      <c r="J412" s="2">
        <v>1</v>
      </c>
      <c r="K412" s="1"/>
      <c r="L412" s="1"/>
    </row>
    <row r="413" spans="1:12">
      <c r="A413">
        <v>0</v>
      </c>
      <c r="B413">
        <v>1</v>
      </c>
      <c r="C413">
        <v>0</v>
      </c>
      <c r="D413">
        <v>78</v>
      </c>
      <c r="E413">
        <v>17.399999999999999</v>
      </c>
      <c r="F413">
        <v>2.6</v>
      </c>
      <c r="G413">
        <v>0.9</v>
      </c>
      <c r="H413">
        <v>4.5</v>
      </c>
      <c r="I413" s="1">
        <v>3080921</v>
      </c>
      <c r="J413" s="2">
        <v>0</v>
      </c>
      <c r="K413" s="1"/>
      <c r="L413" s="1"/>
    </row>
    <row r="414" spans="1:12">
      <c r="A414">
        <v>1</v>
      </c>
      <c r="B414">
        <v>1</v>
      </c>
      <c r="C414">
        <v>0</v>
      </c>
      <c r="D414">
        <v>38</v>
      </c>
      <c r="E414">
        <v>12.9</v>
      </c>
      <c r="F414">
        <v>1.6</v>
      </c>
      <c r="G414">
        <v>1.1000000000000001</v>
      </c>
      <c r="H414">
        <v>4.5</v>
      </c>
      <c r="I414" s="1">
        <v>85300</v>
      </c>
      <c r="J414" s="2">
        <v>1</v>
      </c>
      <c r="K414" s="1"/>
      <c r="L414" s="1"/>
    </row>
    <row r="415" spans="1:12">
      <c r="A415">
        <v>1</v>
      </c>
      <c r="B415">
        <v>1</v>
      </c>
      <c r="C415">
        <v>0</v>
      </c>
      <c r="D415">
        <v>64</v>
      </c>
      <c r="E415">
        <v>17.899999999999999</v>
      </c>
      <c r="F415">
        <v>3.4</v>
      </c>
      <c r="G415">
        <v>3.2</v>
      </c>
      <c r="H415">
        <v>4.5</v>
      </c>
      <c r="I415" s="1">
        <v>2221677</v>
      </c>
      <c r="J415" s="2">
        <v>1</v>
      </c>
      <c r="K415" s="1"/>
      <c r="L415" s="1"/>
    </row>
    <row r="416" spans="1:12">
      <c r="A416">
        <v>0</v>
      </c>
      <c r="B416">
        <v>1</v>
      </c>
      <c r="C416">
        <v>0</v>
      </c>
      <c r="D416">
        <v>56</v>
      </c>
      <c r="E416">
        <v>19.899999999999999</v>
      </c>
      <c r="F416">
        <v>4.3</v>
      </c>
      <c r="G416">
        <v>2.1</v>
      </c>
      <c r="H416">
        <v>4.4000000000000004</v>
      </c>
      <c r="I416" s="1">
        <v>6165000</v>
      </c>
      <c r="J416" s="2">
        <v>1</v>
      </c>
      <c r="K416" s="1"/>
      <c r="L416" s="1"/>
    </row>
    <row r="417" spans="1:12">
      <c r="A417">
        <v>1</v>
      </c>
      <c r="B417">
        <v>1</v>
      </c>
      <c r="C417">
        <v>0</v>
      </c>
      <c r="D417">
        <v>53</v>
      </c>
      <c r="E417">
        <v>16.600000000000001</v>
      </c>
      <c r="F417">
        <v>1</v>
      </c>
      <c r="G417">
        <v>1.4</v>
      </c>
      <c r="H417">
        <v>4.4000000000000004</v>
      </c>
      <c r="I417" s="1">
        <v>11500000</v>
      </c>
      <c r="J417" s="2">
        <v>1</v>
      </c>
      <c r="K417" s="1"/>
      <c r="L417" s="1"/>
    </row>
    <row r="418" spans="1:12">
      <c r="A418">
        <v>1</v>
      </c>
      <c r="B418">
        <v>0</v>
      </c>
      <c r="C418">
        <v>1</v>
      </c>
      <c r="D418">
        <v>77</v>
      </c>
      <c r="E418">
        <v>15.3</v>
      </c>
      <c r="F418">
        <v>3.6</v>
      </c>
      <c r="G418">
        <v>0.9</v>
      </c>
      <c r="H418">
        <v>4.4000000000000004</v>
      </c>
      <c r="I418" s="1">
        <v>2221677</v>
      </c>
      <c r="J418" s="2">
        <v>0</v>
      </c>
      <c r="K418" s="1"/>
      <c r="L418" s="1"/>
    </row>
    <row r="419" spans="1:12">
      <c r="A419">
        <v>1</v>
      </c>
      <c r="B419">
        <v>1</v>
      </c>
      <c r="C419">
        <v>0</v>
      </c>
      <c r="D419">
        <v>37</v>
      </c>
      <c r="E419">
        <v>16.600000000000001</v>
      </c>
      <c r="F419">
        <v>1.6</v>
      </c>
      <c r="G419">
        <v>3.2</v>
      </c>
      <c r="H419">
        <v>4.4000000000000004</v>
      </c>
      <c r="I419" s="1">
        <v>1272870</v>
      </c>
      <c r="J419" s="2">
        <v>1</v>
      </c>
      <c r="K419" s="1"/>
      <c r="L419" s="1"/>
    </row>
    <row r="420" spans="1:12">
      <c r="A420">
        <v>0</v>
      </c>
      <c r="B420">
        <v>0</v>
      </c>
      <c r="C420">
        <v>0</v>
      </c>
      <c r="D420">
        <v>12</v>
      </c>
      <c r="E420">
        <v>16.600000000000001</v>
      </c>
      <c r="F420">
        <v>6.3</v>
      </c>
      <c r="G420">
        <v>0.9</v>
      </c>
      <c r="H420">
        <v>4.4000000000000004</v>
      </c>
      <c r="I420" s="1">
        <v>3592381</v>
      </c>
      <c r="J420" s="2">
        <v>1</v>
      </c>
      <c r="K420" s="1"/>
      <c r="L420" s="1"/>
    </row>
    <row r="421" spans="1:12">
      <c r="A421">
        <v>1</v>
      </c>
      <c r="B421">
        <v>1</v>
      </c>
      <c r="C421">
        <v>0</v>
      </c>
      <c r="D421">
        <v>62</v>
      </c>
      <c r="E421">
        <v>11.7</v>
      </c>
      <c r="F421">
        <v>1.6</v>
      </c>
      <c r="G421">
        <v>2.7</v>
      </c>
      <c r="H421">
        <v>4.4000000000000004</v>
      </c>
      <c r="I421" s="1">
        <v>2191897</v>
      </c>
      <c r="J421" s="2">
        <v>1</v>
      </c>
      <c r="K421" s="1"/>
      <c r="L421" s="1"/>
    </row>
    <row r="422" spans="1:12">
      <c r="A422">
        <v>1</v>
      </c>
      <c r="B422">
        <v>1</v>
      </c>
      <c r="C422">
        <v>0</v>
      </c>
      <c r="D422">
        <v>54</v>
      </c>
      <c r="E422">
        <v>10.9</v>
      </c>
      <c r="F422">
        <v>1.2</v>
      </c>
      <c r="G422">
        <v>1.1000000000000001</v>
      </c>
      <c r="H422">
        <v>4.4000000000000004</v>
      </c>
      <c r="I422" s="1">
        <v>2983320</v>
      </c>
      <c r="J422" s="2">
        <v>1</v>
      </c>
      <c r="K422" s="1"/>
      <c r="L422" s="1"/>
    </row>
    <row r="423" spans="1:12">
      <c r="A423">
        <v>0</v>
      </c>
      <c r="B423">
        <v>0</v>
      </c>
      <c r="C423">
        <v>1</v>
      </c>
      <c r="D423">
        <v>65</v>
      </c>
      <c r="E423">
        <v>17.399999999999999</v>
      </c>
      <c r="F423">
        <v>4.5</v>
      </c>
      <c r="G423">
        <v>1.3</v>
      </c>
      <c r="H423">
        <v>4.4000000000000004</v>
      </c>
      <c r="I423" s="1">
        <v>11571429</v>
      </c>
      <c r="J423" s="2">
        <v>1</v>
      </c>
      <c r="K423" s="1"/>
      <c r="L423" s="1"/>
    </row>
    <row r="424" spans="1:12">
      <c r="A424">
        <v>0</v>
      </c>
      <c r="B424">
        <v>0</v>
      </c>
      <c r="C424">
        <v>1</v>
      </c>
      <c r="D424">
        <v>55</v>
      </c>
      <c r="E424">
        <v>12.2</v>
      </c>
      <c r="F424">
        <v>2.2999999999999998</v>
      </c>
      <c r="G424">
        <v>0.3</v>
      </c>
      <c r="H424">
        <v>4.3</v>
      </c>
      <c r="I424" s="1">
        <v>1272870</v>
      </c>
      <c r="J424" s="2">
        <v>1</v>
      </c>
      <c r="K424" s="1"/>
      <c r="L424" s="1"/>
    </row>
    <row r="425" spans="1:12">
      <c r="A425">
        <v>1</v>
      </c>
      <c r="B425">
        <v>1</v>
      </c>
      <c r="C425">
        <v>0</v>
      </c>
      <c r="D425">
        <v>58</v>
      </c>
      <c r="E425">
        <v>15.7</v>
      </c>
      <c r="F425">
        <v>1.8</v>
      </c>
      <c r="G425">
        <v>0.8</v>
      </c>
      <c r="H425">
        <v>4.3</v>
      </c>
      <c r="I425" s="1">
        <v>13666667</v>
      </c>
      <c r="J425" s="2">
        <v>0</v>
      </c>
      <c r="K425" s="1"/>
      <c r="L425" s="1"/>
    </row>
    <row r="426" spans="1:12">
      <c r="A426">
        <v>1</v>
      </c>
      <c r="B426">
        <v>0</v>
      </c>
      <c r="C426">
        <v>1</v>
      </c>
      <c r="D426">
        <v>32</v>
      </c>
      <c r="E426">
        <v>8.8000000000000007</v>
      </c>
      <c r="F426">
        <v>1.9</v>
      </c>
      <c r="G426">
        <v>0.3</v>
      </c>
      <c r="H426">
        <v>4.3</v>
      </c>
      <c r="I426" s="1">
        <v>1955377</v>
      </c>
      <c r="J426" s="2">
        <v>1</v>
      </c>
      <c r="K426" s="1"/>
      <c r="L426" s="1"/>
    </row>
    <row r="427" spans="1:12">
      <c r="A427">
        <v>0</v>
      </c>
      <c r="B427">
        <v>0</v>
      </c>
      <c r="C427">
        <v>0</v>
      </c>
      <c r="D427">
        <v>41</v>
      </c>
      <c r="E427">
        <v>10.3</v>
      </c>
      <c r="F427">
        <v>2.9</v>
      </c>
      <c r="G427">
        <v>0.3</v>
      </c>
      <c r="H427">
        <v>4.3</v>
      </c>
      <c r="I427" s="1">
        <v>2743800</v>
      </c>
      <c r="J427" s="2">
        <v>0</v>
      </c>
      <c r="K427" s="1"/>
      <c r="L427" s="1"/>
    </row>
    <row r="428" spans="1:12">
      <c r="A428">
        <v>1</v>
      </c>
      <c r="B428">
        <v>0</v>
      </c>
      <c r="C428">
        <v>1</v>
      </c>
      <c r="D428">
        <v>3</v>
      </c>
      <c r="E428">
        <v>12.7</v>
      </c>
      <c r="F428">
        <v>3</v>
      </c>
      <c r="G428">
        <v>1</v>
      </c>
      <c r="H428">
        <v>4.3</v>
      </c>
      <c r="I428" s="1">
        <v>153330</v>
      </c>
      <c r="J428" s="2">
        <v>0</v>
      </c>
      <c r="K428" s="1"/>
      <c r="L428" s="1"/>
    </row>
    <row r="429" spans="1:12">
      <c r="A429">
        <v>0</v>
      </c>
      <c r="B429">
        <v>0</v>
      </c>
      <c r="C429">
        <v>0</v>
      </c>
      <c r="D429">
        <v>7</v>
      </c>
      <c r="E429">
        <v>16.399999999999999</v>
      </c>
      <c r="F429">
        <v>5.3</v>
      </c>
      <c r="G429">
        <v>1.9</v>
      </c>
      <c r="H429">
        <v>4.3</v>
      </c>
      <c r="I429" s="1">
        <v>5253360</v>
      </c>
      <c r="J429" s="2">
        <v>1</v>
      </c>
      <c r="K429" s="1"/>
      <c r="L429" s="1"/>
    </row>
    <row r="430" spans="1:12">
      <c r="A430">
        <v>1</v>
      </c>
      <c r="B430">
        <v>0</v>
      </c>
      <c r="C430">
        <v>1</v>
      </c>
      <c r="D430">
        <v>31</v>
      </c>
      <c r="E430">
        <v>11.9</v>
      </c>
      <c r="F430">
        <v>2.4</v>
      </c>
      <c r="G430">
        <v>0.8</v>
      </c>
      <c r="H430">
        <v>4.3</v>
      </c>
      <c r="I430" s="1">
        <v>2763960</v>
      </c>
      <c r="J430" s="2">
        <v>1</v>
      </c>
      <c r="K430" s="1"/>
      <c r="L430" s="1"/>
    </row>
    <row r="431" spans="1:12">
      <c r="A431">
        <v>1</v>
      </c>
      <c r="B431">
        <v>0</v>
      </c>
      <c r="C431">
        <v>1</v>
      </c>
      <c r="D431">
        <v>4</v>
      </c>
      <c r="E431">
        <v>8.8000000000000007</v>
      </c>
      <c r="F431">
        <v>1.5</v>
      </c>
      <c r="G431">
        <v>1.3</v>
      </c>
      <c r="H431">
        <v>4.3</v>
      </c>
      <c r="I431" s="1">
        <v>636435</v>
      </c>
      <c r="J431" s="2">
        <v>1</v>
      </c>
      <c r="K431" s="1"/>
      <c r="L431" s="1"/>
    </row>
    <row r="432" spans="1:12">
      <c r="A432">
        <v>0</v>
      </c>
      <c r="B432">
        <v>1</v>
      </c>
      <c r="C432">
        <v>0</v>
      </c>
      <c r="D432">
        <v>61</v>
      </c>
      <c r="E432">
        <v>15</v>
      </c>
      <c r="F432">
        <v>1.9</v>
      </c>
      <c r="G432">
        <v>1</v>
      </c>
      <c r="H432">
        <v>4.3</v>
      </c>
      <c r="I432" s="1">
        <v>1272870</v>
      </c>
      <c r="J432" s="2">
        <v>1</v>
      </c>
      <c r="K432" s="1"/>
      <c r="L432" s="1"/>
    </row>
    <row r="433" spans="1:12">
      <c r="A433">
        <v>1</v>
      </c>
      <c r="B433">
        <v>0</v>
      </c>
      <c r="C433">
        <v>1</v>
      </c>
      <c r="D433">
        <v>64</v>
      </c>
      <c r="E433">
        <v>11.9</v>
      </c>
      <c r="F433">
        <v>3</v>
      </c>
      <c r="G433">
        <v>0.5</v>
      </c>
      <c r="H433">
        <v>4.3</v>
      </c>
      <c r="I433" s="1">
        <v>724598</v>
      </c>
      <c r="J433" s="2">
        <v>1</v>
      </c>
      <c r="K433" s="1"/>
      <c r="L433" s="1"/>
    </row>
    <row r="434" spans="1:12">
      <c r="A434">
        <v>0</v>
      </c>
      <c r="B434">
        <v>0</v>
      </c>
      <c r="C434">
        <v>1</v>
      </c>
      <c r="D434">
        <v>71</v>
      </c>
      <c r="E434">
        <v>11.5</v>
      </c>
      <c r="F434">
        <v>2.5</v>
      </c>
      <c r="G434">
        <v>0.7</v>
      </c>
      <c r="H434">
        <v>4.2</v>
      </c>
      <c r="I434" s="1">
        <v>4900320</v>
      </c>
      <c r="J434" s="2">
        <v>1</v>
      </c>
      <c r="K434" s="1"/>
      <c r="L434" s="1"/>
    </row>
    <row r="435" spans="1:12">
      <c r="A435">
        <v>1</v>
      </c>
      <c r="B435">
        <v>0</v>
      </c>
      <c r="C435">
        <v>1</v>
      </c>
      <c r="D435">
        <v>29</v>
      </c>
      <c r="E435">
        <v>11</v>
      </c>
      <c r="F435">
        <v>1.7</v>
      </c>
      <c r="G435">
        <v>0.8</v>
      </c>
      <c r="H435">
        <v>4.2</v>
      </c>
      <c r="I435" s="1">
        <v>123045</v>
      </c>
      <c r="J435" s="2">
        <v>1</v>
      </c>
      <c r="K435" s="1"/>
      <c r="L435" s="1"/>
    </row>
    <row r="436" spans="1:12">
      <c r="A436">
        <v>0</v>
      </c>
      <c r="B436">
        <v>0</v>
      </c>
      <c r="C436">
        <v>1</v>
      </c>
      <c r="D436">
        <v>54</v>
      </c>
      <c r="E436">
        <v>10.199999999999999</v>
      </c>
      <c r="F436">
        <v>1.4</v>
      </c>
      <c r="G436">
        <v>0.4</v>
      </c>
      <c r="H436">
        <v>4.2</v>
      </c>
      <c r="I436" s="1">
        <v>4010160</v>
      </c>
      <c r="J436" s="2">
        <v>1</v>
      </c>
      <c r="K436" s="1"/>
      <c r="L436" s="1"/>
    </row>
    <row r="437" spans="1:12">
      <c r="A437">
        <v>1</v>
      </c>
      <c r="B437">
        <v>1</v>
      </c>
      <c r="C437">
        <v>0</v>
      </c>
      <c r="D437">
        <v>24</v>
      </c>
      <c r="E437">
        <v>9.4</v>
      </c>
      <c r="F437">
        <v>1.8</v>
      </c>
      <c r="G437">
        <v>0.3</v>
      </c>
      <c r="H437">
        <v>4.2</v>
      </c>
      <c r="I437" s="1">
        <v>27343</v>
      </c>
      <c r="J437" s="2">
        <v>0</v>
      </c>
      <c r="K437" s="1"/>
      <c r="L437" s="1"/>
    </row>
    <row r="438" spans="1:12">
      <c r="A438">
        <v>1</v>
      </c>
      <c r="B438">
        <v>0</v>
      </c>
      <c r="C438">
        <v>1</v>
      </c>
      <c r="D438">
        <v>9</v>
      </c>
      <c r="E438">
        <v>9.4</v>
      </c>
      <c r="F438">
        <v>1.6</v>
      </c>
      <c r="G438">
        <v>0.8</v>
      </c>
      <c r="H438">
        <v>4.0999999999999996</v>
      </c>
      <c r="I438" s="1">
        <v>274325</v>
      </c>
      <c r="J438" s="2">
        <v>0</v>
      </c>
      <c r="K438" s="1"/>
      <c r="L438" s="1"/>
    </row>
    <row r="439" spans="1:12">
      <c r="A439">
        <v>0</v>
      </c>
      <c r="B439">
        <v>0</v>
      </c>
      <c r="C439">
        <v>1</v>
      </c>
      <c r="D439">
        <v>74</v>
      </c>
      <c r="E439">
        <v>17.5</v>
      </c>
      <c r="F439">
        <v>2.5</v>
      </c>
      <c r="G439">
        <v>0.9</v>
      </c>
      <c r="H439">
        <v>4</v>
      </c>
      <c r="I439" s="1">
        <v>5601600</v>
      </c>
      <c r="J439" s="2">
        <v>0</v>
      </c>
      <c r="K439" s="1"/>
      <c r="L439" s="1"/>
    </row>
    <row r="440" spans="1:12">
      <c r="A440">
        <v>1</v>
      </c>
      <c r="B440">
        <v>0</v>
      </c>
      <c r="C440">
        <v>0</v>
      </c>
      <c r="D440">
        <v>41</v>
      </c>
      <c r="E440">
        <v>11</v>
      </c>
      <c r="F440">
        <v>2.8</v>
      </c>
      <c r="G440">
        <v>0.5</v>
      </c>
      <c r="H440">
        <v>4</v>
      </c>
      <c r="I440" s="1">
        <v>123945</v>
      </c>
      <c r="J440" s="2">
        <v>1</v>
      </c>
      <c r="K440" s="1"/>
      <c r="L440" s="1"/>
    </row>
    <row r="441" spans="1:12">
      <c r="A441">
        <v>0</v>
      </c>
      <c r="B441">
        <v>1</v>
      </c>
      <c r="C441">
        <v>0</v>
      </c>
      <c r="D441">
        <v>68</v>
      </c>
      <c r="E441">
        <v>13.1</v>
      </c>
      <c r="F441">
        <v>1.8</v>
      </c>
      <c r="G441">
        <v>0.6</v>
      </c>
      <c r="H441">
        <v>4</v>
      </c>
      <c r="I441" s="1">
        <v>2191897</v>
      </c>
      <c r="J441" s="2">
        <v>1</v>
      </c>
      <c r="K441" s="1"/>
      <c r="L441" s="1"/>
    </row>
    <row r="442" spans="1:12">
      <c r="A442">
        <v>0</v>
      </c>
      <c r="B442">
        <v>0</v>
      </c>
      <c r="C442">
        <v>1</v>
      </c>
      <c r="D442">
        <v>2</v>
      </c>
      <c r="E442">
        <v>10</v>
      </c>
      <c r="F442">
        <v>3</v>
      </c>
      <c r="G442">
        <v>0.5</v>
      </c>
      <c r="H442">
        <v>4</v>
      </c>
      <c r="I442" s="1">
        <v>12500000</v>
      </c>
      <c r="J442" s="2">
        <v>0</v>
      </c>
      <c r="K442" s="1"/>
      <c r="L442" s="1"/>
    </row>
    <row r="443" spans="1:12">
      <c r="A443">
        <v>0</v>
      </c>
      <c r="B443">
        <v>0</v>
      </c>
      <c r="C443">
        <v>1</v>
      </c>
      <c r="D443">
        <v>40</v>
      </c>
      <c r="E443">
        <v>7.9</v>
      </c>
      <c r="F443">
        <v>2.2999999999999998</v>
      </c>
      <c r="G443">
        <v>0.3</v>
      </c>
      <c r="H443">
        <v>3.9</v>
      </c>
      <c r="I443" s="1">
        <v>4201080</v>
      </c>
      <c r="J443" s="2">
        <v>0</v>
      </c>
      <c r="K443" s="1"/>
      <c r="L443" s="1"/>
    </row>
    <row r="444" spans="1:12">
      <c r="A444">
        <v>1</v>
      </c>
      <c r="B444">
        <v>0</v>
      </c>
      <c r="C444">
        <v>1</v>
      </c>
      <c r="D444">
        <v>74</v>
      </c>
      <c r="E444">
        <v>14.6</v>
      </c>
      <c r="F444">
        <v>3.3</v>
      </c>
      <c r="G444">
        <v>0.5</v>
      </c>
      <c r="H444">
        <v>3.9</v>
      </c>
      <c r="I444" s="1">
        <v>2783880</v>
      </c>
      <c r="J444" s="2">
        <v>0</v>
      </c>
      <c r="K444" s="1"/>
      <c r="L444" s="1"/>
    </row>
    <row r="445" spans="1:12">
      <c r="A445">
        <v>0</v>
      </c>
      <c r="B445">
        <v>0</v>
      </c>
      <c r="C445">
        <v>1</v>
      </c>
      <c r="D445">
        <v>58</v>
      </c>
      <c r="E445">
        <v>14.8</v>
      </c>
      <c r="F445">
        <v>2.5</v>
      </c>
      <c r="G445">
        <v>1.4</v>
      </c>
      <c r="H445">
        <v>3.9</v>
      </c>
      <c r="I445" s="1">
        <v>8556451</v>
      </c>
      <c r="J445" s="2">
        <v>1</v>
      </c>
      <c r="K445" s="1"/>
      <c r="L445" s="1"/>
    </row>
    <row r="446" spans="1:12">
      <c r="A446">
        <v>0</v>
      </c>
      <c r="B446">
        <v>1</v>
      </c>
      <c r="C446">
        <v>0</v>
      </c>
      <c r="D446">
        <v>12</v>
      </c>
      <c r="E446">
        <v>7</v>
      </c>
      <c r="F446">
        <v>0.7</v>
      </c>
      <c r="G446">
        <v>0.8</v>
      </c>
      <c r="H446">
        <v>3.8</v>
      </c>
      <c r="I446" s="1">
        <v>85300</v>
      </c>
      <c r="J446" s="2">
        <v>1</v>
      </c>
      <c r="K446" s="1"/>
      <c r="L446" s="1"/>
    </row>
    <row r="447" spans="1:12">
      <c r="A447">
        <v>0</v>
      </c>
      <c r="B447">
        <v>0</v>
      </c>
      <c r="C447">
        <v>0</v>
      </c>
      <c r="D447">
        <v>75</v>
      </c>
      <c r="E447">
        <v>12.3</v>
      </c>
      <c r="F447">
        <v>4.5999999999999996</v>
      </c>
      <c r="G447">
        <v>0.7</v>
      </c>
      <c r="H447">
        <v>3.8</v>
      </c>
      <c r="I447" s="1">
        <v>6700000</v>
      </c>
      <c r="J447" s="2">
        <v>0</v>
      </c>
      <c r="K447" s="1"/>
      <c r="L447" s="1"/>
    </row>
    <row r="448" spans="1:12">
      <c r="A448">
        <v>1</v>
      </c>
      <c r="B448">
        <v>0</v>
      </c>
      <c r="C448">
        <v>1</v>
      </c>
      <c r="D448">
        <v>59</v>
      </c>
      <c r="E448">
        <v>12.8</v>
      </c>
      <c r="F448">
        <v>3.2</v>
      </c>
      <c r="G448">
        <v>1.2</v>
      </c>
      <c r="H448">
        <v>3.8</v>
      </c>
      <c r="I448" s="1">
        <v>1272870</v>
      </c>
      <c r="J448" s="2">
        <v>0</v>
      </c>
      <c r="K448" s="1"/>
      <c r="L448" s="1"/>
    </row>
    <row r="449" spans="1:12">
      <c r="A449">
        <v>0</v>
      </c>
      <c r="B449">
        <v>0</v>
      </c>
      <c r="C449">
        <v>0</v>
      </c>
      <c r="D449">
        <v>9</v>
      </c>
      <c r="E449">
        <v>11.6</v>
      </c>
      <c r="F449">
        <v>3.3</v>
      </c>
      <c r="G449">
        <v>0.9</v>
      </c>
      <c r="H449">
        <v>3.8</v>
      </c>
      <c r="I449" s="1">
        <v>141463</v>
      </c>
      <c r="J449" s="2">
        <v>0</v>
      </c>
      <c r="K449" s="1"/>
      <c r="L449" s="1"/>
    </row>
    <row r="450" spans="1:12">
      <c r="A450">
        <v>1</v>
      </c>
      <c r="B450">
        <v>1</v>
      </c>
      <c r="C450">
        <v>0</v>
      </c>
      <c r="D450">
        <v>48</v>
      </c>
      <c r="E450">
        <v>11.5</v>
      </c>
      <c r="F450">
        <v>1.8</v>
      </c>
      <c r="G450">
        <v>1.4</v>
      </c>
      <c r="H450">
        <v>3.7</v>
      </c>
      <c r="I450" s="1">
        <v>125931</v>
      </c>
      <c r="J450" s="2">
        <v>1</v>
      </c>
      <c r="K450" s="1"/>
      <c r="L450" s="1"/>
    </row>
    <row r="451" spans="1:12">
      <c r="A451">
        <v>0</v>
      </c>
      <c r="B451">
        <v>0</v>
      </c>
      <c r="C451">
        <v>1</v>
      </c>
      <c r="D451">
        <v>25</v>
      </c>
      <c r="E451">
        <v>8.4</v>
      </c>
      <c r="F451">
        <v>1.4</v>
      </c>
      <c r="G451">
        <v>0.6</v>
      </c>
      <c r="H451">
        <v>3.7</v>
      </c>
      <c r="I451" s="1">
        <v>3218760</v>
      </c>
      <c r="J451" s="2">
        <v>1</v>
      </c>
      <c r="K451" s="1"/>
      <c r="L451" s="1"/>
    </row>
    <row r="452" spans="1:12">
      <c r="A452">
        <v>1</v>
      </c>
      <c r="B452">
        <v>0</v>
      </c>
      <c r="C452">
        <v>1</v>
      </c>
      <c r="D452">
        <v>35</v>
      </c>
      <c r="E452">
        <v>12.8</v>
      </c>
      <c r="F452">
        <v>2.7</v>
      </c>
      <c r="G452">
        <v>1</v>
      </c>
      <c r="H452">
        <v>3.7</v>
      </c>
      <c r="I452" s="1">
        <v>3634153</v>
      </c>
      <c r="J452" s="2">
        <v>1</v>
      </c>
      <c r="K452" s="1"/>
      <c r="L452" s="1"/>
    </row>
    <row r="453" spans="1:12">
      <c r="A453">
        <v>0</v>
      </c>
      <c r="B453">
        <v>0</v>
      </c>
      <c r="C453">
        <v>1</v>
      </c>
      <c r="D453">
        <v>52</v>
      </c>
      <c r="E453">
        <v>12</v>
      </c>
      <c r="F453">
        <v>2.6</v>
      </c>
      <c r="G453">
        <v>0.6</v>
      </c>
      <c r="H453">
        <v>3.7</v>
      </c>
      <c r="I453" s="1">
        <v>8177778</v>
      </c>
      <c r="J453" s="2">
        <v>1</v>
      </c>
      <c r="K453" s="1"/>
      <c r="L453" s="1"/>
    </row>
    <row r="454" spans="1:12">
      <c r="A454">
        <v>1</v>
      </c>
      <c r="B454">
        <v>0</v>
      </c>
      <c r="C454">
        <v>1</v>
      </c>
      <c r="D454">
        <v>15</v>
      </c>
      <c r="E454">
        <v>9.1</v>
      </c>
      <c r="F454">
        <v>3.3</v>
      </c>
      <c r="G454">
        <v>0.9</v>
      </c>
      <c r="H454">
        <v>3.7</v>
      </c>
      <c r="I454" s="1">
        <v>70638</v>
      </c>
      <c r="J454" s="2">
        <v>1</v>
      </c>
      <c r="K454" s="1"/>
      <c r="L454" s="1"/>
    </row>
    <row r="455" spans="1:12">
      <c r="A455">
        <v>1</v>
      </c>
      <c r="B455">
        <v>0</v>
      </c>
      <c r="C455">
        <v>1</v>
      </c>
      <c r="D455">
        <v>44</v>
      </c>
      <c r="E455">
        <v>10.7</v>
      </c>
      <c r="F455">
        <v>2.4</v>
      </c>
      <c r="G455">
        <v>0.9</v>
      </c>
      <c r="H455">
        <v>3.6</v>
      </c>
      <c r="I455" s="1">
        <v>806628</v>
      </c>
      <c r="J455" s="2">
        <v>0</v>
      </c>
      <c r="K455" s="1"/>
      <c r="L455" s="1"/>
    </row>
    <row r="456" spans="1:12">
      <c r="A456">
        <v>1</v>
      </c>
      <c r="B456">
        <v>0</v>
      </c>
      <c r="C456">
        <v>1</v>
      </c>
      <c r="D456">
        <v>69</v>
      </c>
      <c r="E456">
        <v>9.1999999999999993</v>
      </c>
      <c r="F456">
        <v>1.4</v>
      </c>
      <c r="G456">
        <v>0.8</v>
      </c>
      <c r="H456">
        <v>3.6</v>
      </c>
      <c r="I456" s="1">
        <v>1272870</v>
      </c>
      <c r="J456" s="2">
        <v>0</v>
      </c>
      <c r="K456" s="1"/>
      <c r="L456" s="1"/>
    </row>
    <row r="457" spans="1:12">
      <c r="A457">
        <v>1</v>
      </c>
      <c r="B457">
        <v>0</v>
      </c>
      <c r="C457">
        <v>1</v>
      </c>
      <c r="D457">
        <v>45</v>
      </c>
      <c r="E457">
        <v>9.1</v>
      </c>
      <c r="F457">
        <v>2.7</v>
      </c>
      <c r="G457">
        <v>1</v>
      </c>
      <c r="H457">
        <v>3.6</v>
      </c>
      <c r="I457" s="1">
        <v>395029</v>
      </c>
      <c r="J457" s="2">
        <v>1</v>
      </c>
      <c r="K457" s="1"/>
      <c r="L457" s="1"/>
    </row>
    <row r="458" spans="1:12">
      <c r="A458">
        <v>1</v>
      </c>
      <c r="B458">
        <v>0</v>
      </c>
      <c r="C458">
        <v>0</v>
      </c>
      <c r="D458">
        <v>4</v>
      </c>
      <c r="E458">
        <v>9.8000000000000007</v>
      </c>
      <c r="F458">
        <v>2.8</v>
      </c>
      <c r="G458">
        <v>1.3</v>
      </c>
      <c r="H458">
        <v>3.5</v>
      </c>
      <c r="I458" s="1">
        <v>149965</v>
      </c>
      <c r="J458" s="2">
        <v>0</v>
      </c>
      <c r="K458" s="1"/>
      <c r="L458" s="1"/>
    </row>
    <row r="459" spans="1:12">
      <c r="A459">
        <v>1</v>
      </c>
      <c r="B459">
        <v>1</v>
      </c>
      <c r="C459">
        <v>0</v>
      </c>
      <c r="D459">
        <v>53</v>
      </c>
      <c r="E459">
        <v>10.1</v>
      </c>
      <c r="F459">
        <v>1.1000000000000001</v>
      </c>
      <c r="G459">
        <v>1.8</v>
      </c>
      <c r="H459">
        <v>3.5</v>
      </c>
      <c r="I459" s="1">
        <v>2296274</v>
      </c>
      <c r="J459" s="2">
        <v>1</v>
      </c>
      <c r="K459" s="1"/>
      <c r="L459" s="1"/>
    </row>
    <row r="460" spans="1:12">
      <c r="A460">
        <v>1</v>
      </c>
      <c r="B460">
        <v>0</v>
      </c>
      <c r="C460">
        <v>0</v>
      </c>
      <c r="D460">
        <v>53</v>
      </c>
      <c r="E460">
        <v>9.4</v>
      </c>
      <c r="F460">
        <v>2.7</v>
      </c>
      <c r="G460">
        <v>0.7</v>
      </c>
      <c r="H460">
        <v>3.4</v>
      </c>
      <c r="I460" s="1">
        <v>2221677</v>
      </c>
      <c r="J460" s="2">
        <v>1</v>
      </c>
      <c r="K460" s="1"/>
      <c r="L460" s="1"/>
    </row>
    <row r="461" spans="1:12">
      <c r="A461">
        <v>0</v>
      </c>
      <c r="B461">
        <v>0</v>
      </c>
      <c r="C461">
        <v>0</v>
      </c>
      <c r="D461">
        <v>10</v>
      </c>
      <c r="E461">
        <v>9.6999999999999993</v>
      </c>
      <c r="F461">
        <v>2.7</v>
      </c>
      <c r="G461">
        <v>0.6</v>
      </c>
      <c r="H461">
        <v>3.4</v>
      </c>
      <c r="I461" s="1">
        <v>960753</v>
      </c>
      <c r="J461" s="2">
        <v>1</v>
      </c>
      <c r="K461" s="1"/>
      <c r="L461" s="1"/>
    </row>
    <row r="462" spans="1:12">
      <c r="A462">
        <v>1</v>
      </c>
      <c r="B462">
        <v>1</v>
      </c>
      <c r="C462">
        <v>0</v>
      </c>
      <c r="D462">
        <v>18</v>
      </c>
      <c r="E462">
        <v>11.6</v>
      </c>
      <c r="F462">
        <v>1.8</v>
      </c>
      <c r="G462">
        <v>2.6</v>
      </c>
      <c r="H462">
        <v>3.4</v>
      </c>
      <c r="I462" s="1">
        <v>354794</v>
      </c>
      <c r="J462" s="2">
        <v>0</v>
      </c>
      <c r="K462" s="1"/>
      <c r="L462" s="1"/>
    </row>
    <row r="463" spans="1:12">
      <c r="A463">
        <v>0</v>
      </c>
      <c r="B463">
        <v>0</v>
      </c>
      <c r="C463">
        <v>1</v>
      </c>
      <c r="D463">
        <v>27</v>
      </c>
      <c r="E463">
        <v>8.6999999999999993</v>
      </c>
      <c r="F463">
        <v>1.2</v>
      </c>
      <c r="G463">
        <v>0.9</v>
      </c>
      <c r="H463">
        <v>3.4</v>
      </c>
      <c r="I463" s="1">
        <v>85300</v>
      </c>
      <c r="J463" s="2">
        <v>1</v>
      </c>
      <c r="K463" s="1"/>
      <c r="L463" s="1"/>
    </row>
    <row r="464" spans="1:12">
      <c r="A464">
        <v>0</v>
      </c>
      <c r="B464">
        <v>1</v>
      </c>
      <c r="C464">
        <v>0</v>
      </c>
      <c r="D464">
        <v>48</v>
      </c>
      <c r="E464">
        <v>9.5</v>
      </c>
      <c r="F464">
        <v>1.1000000000000001</v>
      </c>
      <c r="G464">
        <v>1</v>
      </c>
      <c r="H464">
        <v>3.3</v>
      </c>
      <c r="I464" s="1">
        <v>3090480</v>
      </c>
      <c r="J464" s="2">
        <v>1</v>
      </c>
      <c r="K464" s="1"/>
      <c r="L464" s="1"/>
    </row>
    <row r="465" spans="1:12">
      <c r="A465">
        <v>0</v>
      </c>
      <c r="B465">
        <v>0</v>
      </c>
      <c r="C465">
        <v>1</v>
      </c>
      <c r="D465">
        <v>37</v>
      </c>
      <c r="E465">
        <v>16.8</v>
      </c>
      <c r="F465">
        <v>2.5</v>
      </c>
      <c r="G465">
        <v>1</v>
      </c>
      <c r="H465">
        <v>3.3</v>
      </c>
      <c r="I465" s="1">
        <v>12700000</v>
      </c>
      <c r="J465" s="2">
        <v>1</v>
      </c>
      <c r="K465" s="1"/>
      <c r="L465" s="1"/>
    </row>
    <row r="466" spans="1:12">
      <c r="A466">
        <v>0</v>
      </c>
      <c r="B466">
        <v>0</v>
      </c>
      <c r="C466">
        <v>1</v>
      </c>
      <c r="D466">
        <v>4</v>
      </c>
      <c r="E466">
        <v>9.3000000000000007</v>
      </c>
      <c r="F466">
        <v>2.5</v>
      </c>
      <c r="G466">
        <v>0.5</v>
      </c>
      <c r="H466">
        <v>3.3</v>
      </c>
      <c r="I466" s="1">
        <v>85300</v>
      </c>
      <c r="J466" s="2">
        <v>1</v>
      </c>
      <c r="K466" s="1"/>
      <c r="L466" s="1"/>
    </row>
    <row r="467" spans="1:12">
      <c r="A467">
        <v>0</v>
      </c>
      <c r="B467">
        <v>0</v>
      </c>
      <c r="C467">
        <v>1</v>
      </c>
      <c r="D467">
        <v>25</v>
      </c>
      <c r="E467">
        <v>11</v>
      </c>
      <c r="F467">
        <v>2.1</v>
      </c>
      <c r="G467">
        <v>0.9</v>
      </c>
      <c r="H467">
        <v>3.3</v>
      </c>
      <c r="I467" s="1">
        <v>85300</v>
      </c>
      <c r="J467" s="2">
        <v>0</v>
      </c>
      <c r="K467" s="1"/>
      <c r="L467" s="1"/>
    </row>
    <row r="468" spans="1:12">
      <c r="A468">
        <v>0</v>
      </c>
      <c r="B468">
        <v>0</v>
      </c>
      <c r="C468">
        <v>0</v>
      </c>
      <c r="D468">
        <v>63</v>
      </c>
      <c r="E468">
        <v>14.3</v>
      </c>
      <c r="F468">
        <v>4.0999999999999996</v>
      </c>
      <c r="G468">
        <v>1.1000000000000001</v>
      </c>
      <c r="H468">
        <v>3.3</v>
      </c>
      <c r="I468" s="1">
        <v>4000000</v>
      </c>
      <c r="J468" s="2">
        <v>0</v>
      </c>
      <c r="K468" s="1"/>
      <c r="L468" s="1"/>
    </row>
    <row r="469" spans="1:12">
      <c r="A469">
        <v>0</v>
      </c>
      <c r="B469">
        <v>1</v>
      </c>
      <c r="C469">
        <v>0</v>
      </c>
      <c r="D469">
        <v>3</v>
      </c>
      <c r="E469">
        <v>14.3</v>
      </c>
      <c r="F469">
        <v>1</v>
      </c>
      <c r="G469">
        <v>3.3</v>
      </c>
      <c r="H469">
        <v>3.3</v>
      </c>
      <c r="I469" s="1">
        <v>85300</v>
      </c>
      <c r="J469" s="2">
        <v>1</v>
      </c>
      <c r="K469" s="1"/>
      <c r="L469" s="1"/>
    </row>
    <row r="470" spans="1:12">
      <c r="A470">
        <v>1</v>
      </c>
      <c r="B470">
        <v>0</v>
      </c>
      <c r="C470">
        <v>0</v>
      </c>
      <c r="D470">
        <v>4</v>
      </c>
      <c r="E470">
        <v>14.5</v>
      </c>
      <c r="F470">
        <v>2</v>
      </c>
      <c r="G470">
        <v>0.8</v>
      </c>
      <c r="H470">
        <v>3.3</v>
      </c>
      <c r="I470" s="1">
        <v>1000000</v>
      </c>
      <c r="J470" s="2">
        <v>1</v>
      </c>
      <c r="K470" s="1"/>
      <c r="L470" s="1"/>
    </row>
    <row r="471" spans="1:12">
      <c r="A471">
        <v>0</v>
      </c>
      <c r="B471">
        <v>1</v>
      </c>
      <c r="C471">
        <v>0</v>
      </c>
      <c r="D471">
        <v>46</v>
      </c>
      <c r="E471">
        <v>10.7</v>
      </c>
      <c r="F471">
        <v>1.2</v>
      </c>
      <c r="G471">
        <v>0.6</v>
      </c>
      <c r="H471">
        <v>3.2</v>
      </c>
      <c r="I471" s="1">
        <v>2874436</v>
      </c>
      <c r="J471" s="2">
        <v>1</v>
      </c>
      <c r="K471" s="1"/>
      <c r="L471" s="1"/>
    </row>
    <row r="472" spans="1:12">
      <c r="A472">
        <v>1</v>
      </c>
      <c r="B472">
        <v>0</v>
      </c>
      <c r="C472">
        <v>1</v>
      </c>
      <c r="D472">
        <v>6</v>
      </c>
      <c r="E472">
        <v>3.5</v>
      </c>
      <c r="F472">
        <v>1</v>
      </c>
      <c r="G472">
        <v>0.2</v>
      </c>
      <c r="H472">
        <v>3.2</v>
      </c>
      <c r="I472" s="1">
        <v>636435</v>
      </c>
      <c r="J472" s="2">
        <v>0</v>
      </c>
      <c r="K472" s="1"/>
      <c r="L472" s="1"/>
    </row>
    <row r="473" spans="1:12">
      <c r="A473">
        <v>0</v>
      </c>
      <c r="B473">
        <v>0</v>
      </c>
      <c r="C473">
        <v>0</v>
      </c>
      <c r="D473">
        <v>42</v>
      </c>
      <c r="E473">
        <v>8.6</v>
      </c>
      <c r="F473">
        <v>1.8</v>
      </c>
      <c r="G473">
        <v>1.2</v>
      </c>
      <c r="H473">
        <v>3.2</v>
      </c>
      <c r="I473" s="1">
        <v>13445122</v>
      </c>
      <c r="J473" s="2">
        <v>0</v>
      </c>
      <c r="K473" s="1"/>
      <c r="L473" s="1"/>
    </row>
    <row r="474" spans="1:12">
      <c r="A474">
        <v>1</v>
      </c>
      <c r="B474">
        <v>0</v>
      </c>
      <c r="C474">
        <v>1</v>
      </c>
      <c r="D474">
        <v>61</v>
      </c>
      <c r="E474">
        <v>8.5</v>
      </c>
      <c r="F474">
        <v>1.5</v>
      </c>
      <c r="G474">
        <v>0.4</v>
      </c>
      <c r="H474">
        <v>3.1</v>
      </c>
      <c r="I474" s="1">
        <v>1955377</v>
      </c>
      <c r="J474" s="2">
        <v>1</v>
      </c>
      <c r="K474" s="1"/>
      <c r="L474" s="1"/>
    </row>
    <row r="475" spans="1:12">
      <c r="A475">
        <v>0</v>
      </c>
      <c r="B475">
        <v>1</v>
      </c>
      <c r="C475">
        <v>0</v>
      </c>
      <c r="D475">
        <v>14</v>
      </c>
      <c r="E475">
        <v>9.6</v>
      </c>
      <c r="F475">
        <v>1.7</v>
      </c>
      <c r="G475">
        <v>0.9</v>
      </c>
      <c r="H475">
        <v>3.1</v>
      </c>
      <c r="I475" s="1">
        <v>636435</v>
      </c>
      <c r="J475" s="2">
        <v>1</v>
      </c>
      <c r="K475" s="1"/>
      <c r="L475" s="1"/>
    </row>
    <row r="476" spans="1:12">
      <c r="A476">
        <v>1</v>
      </c>
      <c r="B476">
        <v>1</v>
      </c>
      <c r="C476">
        <v>0</v>
      </c>
      <c r="D476">
        <v>7</v>
      </c>
      <c r="E476">
        <v>3.7</v>
      </c>
      <c r="F476">
        <v>0.3</v>
      </c>
      <c r="G476">
        <v>0.3</v>
      </c>
      <c r="H476">
        <v>3.1</v>
      </c>
      <c r="I476" s="1">
        <v>296271</v>
      </c>
      <c r="J476" s="2">
        <v>1</v>
      </c>
      <c r="K476" s="1"/>
      <c r="L476" s="1"/>
    </row>
    <row r="477" spans="1:12">
      <c r="A477">
        <v>0</v>
      </c>
      <c r="B477">
        <v>1</v>
      </c>
      <c r="C477">
        <v>0</v>
      </c>
      <c r="D477">
        <v>67</v>
      </c>
      <c r="E477">
        <v>14.6</v>
      </c>
      <c r="F477">
        <v>1.1000000000000001</v>
      </c>
      <c r="G477">
        <v>2.4</v>
      </c>
      <c r="H477">
        <v>3</v>
      </c>
      <c r="I477" s="1">
        <v>814552</v>
      </c>
      <c r="J477" s="2">
        <v>1</v>
      </c>
      <c r="K477" s="1"/>
      <c r="L477" s="1"/>
    </row>
    <row r="478" spans="1:12">
      <c r="A478">
        <v>0</v>
      </c>
      <c r="B478">
        <v>0</v>
      </c>
      <c r="C478">
        <v>1</v>
      </c>
      <c r="D478">
        <v>4</v>
      </c>
      <c r="E478">
        <v>10</v>
      </c>
      <c r="F478">
        <v>1.3</v>
      </c>
      <c r="G478">
        <v>0.5</v>
      </c>
      <c r="H478">
        <v>3</v>
      </c>
      <c r="I478" s="1">
        <v>153622</v>
      </c>
      <c r="J478" s="2">
        <v>1</v>
      </c>
      <c r="K478" s="1"/>
      <c r="L478" s="1"/>
    </row>
    <row r="479" spans="1:12">
      <c r="A479">
        <v>1</v>
      </c>
      <c r="B479">
        <v>0</v>
      </c>
      <c r="C479">
        <v>1</v>
      </c>
      <c r="D479">
        <v>3</v>
      </c>
      <c r="E479">
        <v>5.7</v>
      </c>
      <c r="F479">
        <v>1</v>
      </c>
      <c r="G479">
        <v>0.3</v>
      </c>
      <c r="H479">
        <v>3</v>
      </c>
      <c r="I479" s="1">
        <v>2896132</v>
      </c>
      <c r="J479" s="2">
        <v>1</v>
      </c>
      <c r="K479" s="1"/>
      <c r="L479" s="1"/>
    </row>
    <row r="480" spans="1:12">
      <c r="A480">
        <v>0</v>
      </c>
      <c r="B480">
        <v>0</v>
      </c>
      <c r="C480">
        <v>0</v>
      </c>
      <c r="D480">
        <v>46</v>
      </c>
      <c r="E480">
        <v>8.9</v>
      </c>
      <c r="F480">
        <v>2.9</v>
      </c>
      <c r="G480">
        <v>0.1</v>
      </c>
      <c r="H480">
        <v>3</v>
      </c>
      <c r="I480" s="1">
        <v>6016080</v>
      </c>
      <c r="J480" s="2">
        <v>0</v>
      </c>
      <c r="K480" s="1"/>
      <c r="L480" s="1"/>
    </row>
    <row r="481" spans="1:12">
      <c r="A481">
        <v>1</v>
      </c>
      <c r="B481">
        <v>0</v>
      </c>
      <c r="C481">
        <v>1</v>
      </c>
      <c r="D481">
        <v>5</v>
      </c>
      <c r="E481">
        <v>6.6</v>
      </c>
      <c r="F481">
        <v>0.6</v>
      </c>
      <c r="G481">
        <v>0.8</v>
      </c>
      <c r="H481">
        <v>3</v>
      </c>
      <c r="I481" s="1">
        <v>815661</v>
      </c>
      <c r="J481" s="2">
        <v>0</v>
      </c>
      <c r="K481" s="1"/>
      <c r="L481" s="1"/>
    </row>
    <row r="482" spans="1:12">
      <c r="A482">
        <v>1</v>
      </c>
      <c r="B482">
        <v>1</v>
      </c>
      <c r="C482">
        <v>0</v>
      </c>
      <c r="D482">
        <v>6</v>
      </c>
      <c r="E482">
        <v>10.8</v>
      </c>
      <c r="F482">
        <v>1.2</v>
      </c>
      <c r="G482">
        <v>1.5</v>
      </c>
      <c r="H482">
        <v>3</v>
      </c>
      <c r="I482" s="1">
        <v>321184</v>
      </c>
      <c r="J482" s="2">
        <v>1</v>
      </c>
      <c r="K482" s="1"/>
      <c r="L482" s="1"/>
    </row>
    <row r="483" spans="1:12">
      <c r="A483">
        <v>0</v>
      </c>
      <c r="B483">
        <v>0</v>
      </c>
      <c r="C483">
        <v>1</v>
      </c>
      <c r="D483">
        <v>48</v>
      </c>
      <c r="E483">
        <v>8.9</v>
      </c>
      <c r="F483">
        <v>1</v>
      </c>
      <c r="G483">
        <v>0.2</v>
      </c>
      <c r="H483">
        <v>2.9</v>
      </c>
      <c r="I483" s="1">
        <v>2221677</v>
      </c>
      <c r="J483" s="2">
        <v>1</v>
      </c>
      <c r="K483" s="1"/>
      <c r="L483" s="1"/>
    </row>
    <row r="484" spans="1:12">
      <c r="A484">
        <v>0</v>
      </c>
      <c r="B484">
        <v>1</v>
      </c>
      <c r="C484">
        <v>0</v>
      </c>
      <c r="D484">
        <v>16</v>
      </c>
      <c r="E484">
        <v>7.4</v>
      </c>
      <c r="F484">
        <v>0.8</v>
      </c>
      <c r="G484">
        <v>0.6</v>
      </c>
      <c r="H484">
        <v>2.9</v>
      </c>
      <c r="I484" s="1">
        <v>5480297</v>
      </c>
      <c r="J484" s="2">
        <v>1</v>
      </c>
      <c r="K484" s="1"/>
      <c r="L484" s="1"/>
    </row>
    <row r="485" spans="1:12">
      <c r="A485">
        <v>0</v>
      </c>
      <c r="B485">
        <v>1</v>
      </c>
      <c r="C485">
        <v>0</v>
      </c>
      <c r="D485">
        <v>42</v>
      </c>
      <c r="E485">
        <v>8.9</v>
      </c>
      <c r="F485">
        <v>0.5</v>
      </c>
      <c r="G485">
        <v>1.2</v>
      </c>
      <c r="H485">
        <v>2.9</v>
      </c>
      <c r="I485" s="1">
        <v>1955377</v>
      </c>
      <c r="J485" s="2">
        <v>1</v>
      </c>
      <c r="K485" s="1"/>
      <c r="L485" s="1"/>
    </row>
    <row r="486" spans="1:12">
      <c r="A486">
        <v>0</v>
      </c>
      <c r="B486">
        <v>1</v>
      </c>
      <c r="C486">
        <v>0</v>
      </c>
      <c r="D486">
        <v>10</v>
      </c>
      <c r="E486">
        <v>8.8000000000000007</v>
      </c>
      <c r="F486">
        <v>1.1000000000000001</v>
      </c>
      <c r="G486">
        <v>1</v>
      </c>
      <c r="H486">
        <v>2.9</v>
      </c>
      <c r="I486" s="1">
        <v>85300</v>
      </c>
      <c r="J486" s="2">
        <v>1</v>
      </c>
      <c r="K486" s="1"/>
      <c r="L486" s="1"/>
    </row>
    <row r="487" spans="1:12">
      <c r="A487">
        <v>0</v>
      </c>
      <c r="B487">
        <v>0</v>
      </c>
      <c r="C487">
        <v>1</v>
      </c>
      <c r="D487">
        <v>11</v>
      </c>
      <c r="E487">
        <v>6.2</v>
      </c>
      <c r="F487">
        <v>1.2</v>
      </c>
      <c r="G487">
        <v>1.6</v>
      </c>
      <c r="H487">
        <v>2.9</v>
      </c>
      <c r="I487" s="1">
        <v>85300</v>
      </c>
      <c r="J487" s="2">
        <v>0</v>
      </c>
      <c r="K487" s="1"/>
      <c r="L487" s="1"/>
    </row>
    <row r="488" spans="1:12">
      <c r="A488">
        <v>0</v>
      </c>
      <c r="B488">
        <v>1</v>
      </c>
      <c r="C488">
        <v>0</v>
      </c>
      <c r="D488">
        <v>16</v>
      </c>
      <c r="E488">
        <v>14.3</v>
      </c>
      <c r="F488">
        <v>1.8</v>
      </c>
      <c r="G488">
        <v>3.3</v>
      </c>
      <c r="H488">
        <v>2.9</v>
      </c>
      <c r="I488" s="1">
        <v>3634153</v>
      </c>
      <c r="J488" s="2">
        <v>1</v>
      </c>
      <c r="K488" s="1"/>
      <c r="L488" s="1"/>
    </row>
    <row r="489" spans="1:12">
      <c r="A489">
        <v>0</v>
      </c>
      <c r="B489">
        <v>0</v>
      </c>
      <c r="C489">
        <v>0</v>
      </c>
      <c r="D489">
        <v>32</v>
      </c>
      <c r="E489">
        <v>8.1</v>
      </c>
      <c r="F489">
        <v>1.2</v>
      </c>
      <c r="G489">
        <v>0.3</v>
      </c>
      <c r="H489">
        <v>2.9</v>
      </c>
      <c r="I489" s="1">
        <v>2221677</v>
      </c>
      <c r="J489" s="2">
        <v>0</v>
      </c>
      <c r="K489" s="1"/>
      <c r="L489" s="1"/>
    </row>
    <row r="490" spans="1:12">
      <c r="A490">
        <v>0</v>
      </c>
      <c r="B490">
        <v>1</v>
      </c>
      <c r="C490">
        <v>0</v>
      </c>
      <c r="D490">
        <v>55</v>
      </c>
      <c r="E490">
        <v>8.6999999999999993</v>
      </c>
      <c r="F490">
        <v>1.4</v>
      </c>
      <c r="G490">
        <v>0.6</v>
      </c>
      <c r="H490">
        <v>2.8</v>
      </c>
      <c r="I490" s="1">
        <v>1955377</v>
      </c>
      <c r="J490" s="2">
        <v>1</v>
      </c>
      <c r="K490" s="1"/>
      <c r="L490" s="1"/>
    </row>
    <row r="491" spans="1:12">
      <c r="A491">
        <v>0</v>
      </c>
      <c r="B491">
        <v>0</v>
      </c>
      <c r="C491">
        <v>0</v>
      </c>
      <c r="D491">
        <v>21</v>
      </c>
      <c r="E491">
        <v>14.7</v>
      </c>
      <c r="F491">
        <v>5.6</v>
      </c>
      <c r="G491">
        <v>1.6</v>
      </c>
      <c r="H491">
        <v>2.8</v>
      </c>
      <c r="I491" s="1">
        <v>8000000</v>
      </c>
      <c r="J491" s="2">
        <v>1</v>
      </c>
      <c r="K491" s="1"/>
      <c r="L491" s="1"/>
    </row>
    <row r="492" spans="1:12">
      <c r="A492">
        <v>0</v>
      </c>
      <c r="B492">
        <v>0</v>
      </c>
      <c r="C492">
        <v>1</v>
      </c>
      <c r="D492">
        <v>6</v>
      </c>
      <c r="E492">
        <v>4</v>
      </c>
      <c r="F492">
        <v>1.2</v>
      </c>
      <c r="G492">
        <v>0.3</v>
      </c>
      <c r="H492">
        <v>2.8</v>
      </c>
      <c r="I492" s="1">
        <v>190199</v>
      </c>
      <c r="J492" s="2">
        <v>0</v>
      </c>
      <c r="K492" s="1"/>
      <c r="L492" s="1"/>
    </row>
    <row r="493" spans="1:12">
      <c r="A493">
        <v>0</v>
      </c>
      <c r="B493">
        <v>0</v>
      </c>
      <c r="C493">
        <v>1</v>
      </c>
      <c r="D493">
        <v>46</v>
      </c>
      <c r="E493">
        <v>8.8000000000000007</v>
      </c>
      <c r="F493">
        <v>1.6</v>
      </c>
      <c r="G493">
        <v>0.5</v>
      </c>
      <c r="H493">
        <v>2.8</v>
      </c>
      <c r="I493" s="1">
        <v>2667947</v>
      </c>
      <c r="J493" s="2">
        <v>1</v>
      </c>
      <c r="K493" s="1"/>
      <c r="L493" s="1"/>
    </row>
    <row r="494" spans="1:12">
      <c r="A494">
        <v>0</v>
      </c>
      <c r="B494">
        <v>0</v>
      </c>
      <c r="C494">
        <v>0</v>
      </c>
      <c r="D494">
        <v>5</v>
      </c>
      <c r="E494">
        <v>7.2</v>
      </c>
      <c r="F494">
        <v>2.8</v>
      </c>
      <c r="G494">
        <v>0.4</v>
      </c>
      <c r="H494">
        <v>2.8</v>
      </c>
      <c r="I494" s="1">
        <v>85300</v>
      </c>
      <c r="J494" s="2">
        <v>0</v>
      </c>
      <c r="K494" s="1"/>
      <c r="L494" s="1"/>
    </row>
    <row r="495" spans="1:12">
      <c r="A495">
        <v>1</v>
      </c>
      <c r="B495">
        <v>1</v>
      </c>
      <c r="C495">
        <v>0</v>
      </c>
      <c r="D495">
        <v>48</v>
      </c>
      <c r="E495">
        <v>13.8</v>
      </c>
      <c r="F495">
        <v>1.3</v>
      </c>
      <c r="G495">
        <v>1.1000000000000001</v>
      </c>
      <c r="H495">
        <v>2.7</v>
      </c>
      <c r="I495" s="1">
        <v>3634153</v>
      </c>
      <c r="J495" s="2">
        <v>1</v>
      </c>
      <c r="K495" s="1"/>
      <c r="L495" s="1"/>
    </row>
    <row r="496" spans="1:12">
      <c r="A496">
        <v>1</v>
      </c>
      <c r="B496">
        <v>1</v>
      </c>
      <c r="C496">
        <v>0</v>
      </c>
      <c r="D496">
        <v>10</v>
      </c>
      <c r="E496">
        <v>6.8</v>
      </c>
      <c r="F496">
        <v>0.8</v>
      </c>
      <c r="G496">
        <v>0.3</v>
      </c>
      <c r="H496">
        <v>2.7</v>
      </c>
      <c r="I496" s="1">
        <v>85300</v>
      </c>
      <c r="J496" s="2">
        <v>1</v>
      </c>
      <c r="K496" s="1"/>
      <c r="L496" s="1"/>
    </row>
    <row r="497" spans="1:12">
      <c r="A497">
        <v>1</v>
      </c>
      <c r="B497">
        <v>1</v>
      </c>
      <c r="C497">
        <v>0</v>
      </c>
      <c r="D497">
        <v>42</v>
      </c>
      <c r="E497">
        <v>7.1</v>
      </c>
      <c r="F497">
        <v>1.5</v>
      </c>
      <c r="G497">
        <v>0.4</v>
      </c>
      <c r="H497">
        <v>2.6</v>
      </c>
      <c r="I497" s="1">
        <v>1315814</v>
      </c>
      <c r="J497" s="2">
        <v>1</v>
      </c>
      <c r="K497" s="1"/>
      <c r="L497" s="1"/>
    </row>
    <row r="498" spans="1:12">
      <c r="A498">
        <v>1</v>
      </c>
      <c r="B498">
        <v>0</v>
      </c>
      <c r="C498">
        <v>1</v>
      </c>
      <c r="D498">
        <v>52</v>
      </c>
      <c r="E498">
        <v>10</v>
      </c>
      <c r="F498">
        <v>2.5</v>
      </c>
      <c r="G498">
        <v>0.4</v>
      </c>
      <c r="H498">
        <v>2.6</v>
      </c>
      <c r="I498" s="1">
        <v>15000000</v>
      </c>
      <c r="J498" s="2">
        <v>1</v>
      </c>
      <c r="K498" s="1"/>
      <c r="L498" s="1"/>
    </row>
    <row r="499" spans="1:12">
      <c r="A499">
        <v>0</v>
      </c>
      <c r="B499">
        <v>1</v>
      </c>
      <c r="C499">
        <v>0</v>
      </c>
      <c r="D499">
        <v>28</v>
      </c>
      <c r="E499">
        <v>7.8</v>
      </c>
      <c r="F499">
        <v>1.2</v>
      </c>
      <c r="G499">
        <v>1.3</v>
      </c>
      <c r="H499">
        <v>2.5</v>
      </c>
      <c r="I499" s="1">
        <v>82030</v>
      </c>
      <c r="J499" s="2">
        <v>1</v>
      </c>
      <c r="K499" s="1"/>
      <c r="L499" s="1"/>
    </row>
    <row r="500" spans="1:12">
      <c r="A500">
        <v>1</v>
      </c>
      <c r="B500">
        <v>1</v>
      </c>
      <c r="C500">
        <v>0</v>
      </c>
      <c r="D500">
        <v>6</v>
      </c>
      <c r="E500">
        <v>7</v>
      </c>
      <c r="F500">
        <v>1</v>
      </c>
      <c r="G500">
        <v>0.3</v>
      </c>
      <c r="H500">
        <v>2.5</v>
      </c>
      <c r="I500" s="1">
        <v>552309</v>
      </c>
      <c r="J500" s="2">
        <v>1</v>
      </c>
      <c r="K500" s="1"/>
      <c r="L500" s="1"/>
    </row>
    <row r="501" spans="1:12">
      <c r="A501">
        <v>0</v>
      </c>
      <c r="B501">
        <v>0</v>
      </c>
      <c r="C501">
        <v>0</v>
      </c>
      <c r="D501">
        <v>5</v>
      </c>
      <c r="E501">
        <v>8.4</v>
      </c>
      <c r="F501">
        <v>1</v>
      </c>
      <c r="G501">
        <v>0.4</v>
      </c>
      <c r="H501">
        <v>2.4</v>
      </c>
      <c r="I501" s="1">
        <v>85300</v>
      </c>
      <c r="J501" s="2">
        <v>1</v>
      </c>
      <c r="K501" s="1"/>
      <c r="L501" s="1"/>
    </row>
    <row r="502" spans="1:12">
      <c r="A502">
        <v>1</v>
      </c>
      <c r="B502">
        <v>1</v>
      </c>
      <c r="C502">
        <v>0</v>
      </c>
      <c r="D502">
        <v>48</v>
      </c>
      <c r="E502">
        <v>8.5</v>
      </c>
      <c r="F502">
        <v>1.5</v>
      </c>
      <c r="G502">
        <v>0.9</v>
      </c>
      <c r="H502">
        <v>2.4</v>
      </c>
      <c r="I502" s="1">
        <v>2221677</v>
      </c>
      <c r="J502" s="2">
        <v>1</v>
      </c>
      <c r="K502" s="1"/>
      <c r="L502" s="1"/>
    </row>
    <row r="503" spans="1:12">
      <c r="A503">
        <v>1</v>
      </c>
      <c r="B503">
        <v>1</v>
      </c>
      <c r="C503">
        <v>0</v>
      </c>
      <c r="D503">
        <v>34</v>
      </c>
      <c r="E503">
        <v>7.7</v>
      </c>
      <c r="F503">
        <v>0.7</v>
      </c>
      <c r="G503">
        <v>0.5</v>
      </c>
      <c r="H503">
        <v>2.4</v>
      </c>
      <c r="I503" s="1">
        <v>1272870</v>
      </c>
      <c r="J503" s="2">
        <v>1</v>
      </c>
      <c r="K503" s="1"/>
      <c r="L503" s="1"/>
    </row>
    <row r="504" spans="1:12">
      <c r="A504">
        <v>1</v>
      </c>
      <c r="B504">
        <v>0</v>
      </c>
      <c r="C504">
        <v>1</v>
      </c>
      <c r="D504">
        <v>21</v>
      </c>
      <c r="E504">
        <v>7.4</v>
      </c>
      <c r="F504">
        <v>1.3</v>
      </c>
      <c r="G504">
        <v>1</v>
      </c>
      <c r="H504">
        <v>2.4</v>
      </c>
      <c r="I504" s="1">
        <v>85300</v>
      </c>
      <c r="J504" s="2">
        <v>1</v>
      </c>
      <c r="K504" s="1"/>
      <c r="L504" s="1"/>
    </row>
    <row r="505" spans="1:12">
      <c r="A505">
        <v>1</v>
      </c>
      <c r="B505">
        <v>0</v>
      </c>
      <c r="C505">
        <v>0</v>
      </c>
      <c r="D505">
        <v>37</v>
      </c>
      <c r="E505">
        <v>9.3000000000000007</v>
      </c>
      <c r="F505">
        <v>3</v>
      </c>
      <c r="G505">
        <v>1.1000000000000001</v>
      </c>
      <c r="H505">
        <v>2.4</v>
      </c>
      <c r="I505" s="1">
        <v>85300</v>
      </c>
      <c r="J505" s="2">
        <v>0</v>
      </c>
      <c r="K505" s="1"/>
      <c r="L505" s="1"/>
    </row>
    <row r="506" spans="1:12">
      <c r="A506">
        <v>0</v>
      </c>
      <c r="B506">
        <v>1</v>
      </c>
      <c r="C506">
        <v>0</v>
      </c>
      <c r="D506">
        <v>40</v>
      </c>
      <c r="E506">
        <v>7.1</v>
      </c>
      <c r="F506">
        <v>0.7</v>
      </c>
      <c r="G506">
        <v>0.5</v>
      </c>
      <c r="H506">
        <v>2.4</v>
      </c>
      <c r="I506" s="1">
        <v>2461463</v>
      </c>
      <c r="J506" s="2">
        <v>1</v>
      </c>
      <c r="K506" s="1"/>
      <c r="L506" s="1"/>
    </row>
    <row r="507" spans="1:12">
      <c r="A507">
        <v>1</v>
      </c>
      <c r="B507">
        <v>0</v>
      </c>
      <c r="C507">
        <v>1</v>
      </c>
      <c r="D507">
        <v>9</v>
      </c>
      <c r="E507">
        <v>10.4</v>
      </c>
      <c r="F507">
        <v>2</v>
      </c>
      <c r="G507">
        <v>0.3</v>
      </c>
      <c r="H507">
        <v>2.2999999999999998</v>
      </c>
      <c r="I507" s="1">
        <v>3287409</v>
      </c>
      <c r="J507" s="2">
        <v>0</v>
      </c>
      <c r="K507" s="1"/>
      <c r="L507" s="1"/>
    </row>
    <row r="508" spans="1:12">
      <c r="A508">
        <v>1</v>
      </c>
      <c r="B508">
        <v>0</v>
      </c>
      <c r="C508">
        <v>1</v>
      </c>
      <c r="D508">
        <v>18</v>
      </c>
      <c r="E508">
        <v>4.2</v>
      </c>
      <c r="F508">
        <v>0.6</v>
      </c>
      <c r="G508">
        <v>0.2</v>
      </c>
      <c r="H508">
        <v>2.2999999999999998</v>
      </c>
      <c r="I508" s="1">
        <v>724598</v>
      </c>
      <c r="J508" s="2">
        <v>0</v>
      </c>
      <c r="K508" s="1"/>
      <c r="L508" s="1"/>
    </row>
    <row r="509" spans="1:12">
      <c r="A509">
        <v>1</v>
      </c>
      <c r="B509">
        <v>1</v>
      </c>
      <c r="C509">
        <v>0</v>
      </c>
      <c r="D509">
        <v>12</v>
      </c>
      <c r="E509">
        <v>8.6</v>
      </c>
      <c r="F509">
        <v>2</v>
      </c>
      <c r="G509">
        <v>0.8</v>
      </c>
      <c r="H509">
        <v>2.2999999999999998</v>
      </c>
      <c r="I509" s="1">
        <v>376740</v>
      </c>
      <c r="J509" s="2">
        <v>0</v>
      </c>
      <c r="K509" s="1"/>
      <c r="L509" s="1"/>
    </row>
    <row r="510" spans="1:12">
      <c r="A510">
        <v>0</v>
      </c>
      <c r="B510">
        <v>0</v>
      </c>
      <c r="C510">
        <v>1</v>
      </c>
      <c r="D510">
        <v>30</v>
      </c>
      <c r="E510">
        <v>5.8</v>
      </c>
      <c r="F510">
        <v>0.8</v>
      </c>
      <c r="G510">
        <v>0.3</v>
      </c>
      <c r="H510">
        <v>2.2000000000000002</v>
      </c>
      <c r="I510" s="1">
        <v>3634153</v>
      </c>
      <c r="J510" s="2">
        <v>1</v>
      </c>
      <c r="K510" s="1"/>
      <c r="L510" s="1"/>
    </row>
    <row r="511" spans="1:12">
      <c r="A511">
        <v>0</v>
      </c>
      <c r="B511">
        <v>0</v>
      </c>
      <c r="C511">
        <v>0</v>
      </c>
      <c r="D511">
        <v>43</v>
      </c>
      <c r="E511">
        <v>7</v>
      </c>
      <c r="F511">
        <v>1.5</v>
      </c>
      <c r="G511">
        <v>0.5</v>
      </c>
      <c r="H511">
        <v>2.2000000000000002</v>
      </c>
      <c r="I511" s="1">
        <v>4422360</v>
      </c>
      <c r="J511" s="2">
        <v>0</v>
      </c>
      <c r="K511" s="1"/>
      <c r="L511" s="1"/>
    </row>
    <row r="512" spans="1:12">
      <c r="A512">
        <v>1</v>
      </c>
      <c r="B512">
        <v>0</v>
      </c>
      <c r="C512">
        <v>0</v>
      </c>
      <c r="D512">
        <v>54</v>
      </c>
      <c r="E512">
        <v>9.1999999999999993</v>
      </c>
      <c r="F512">
        <v>2.9</v>
      </c>
      <c r="G512">
        <v>0.5</v>
      </c>
      <c r="H512">
        <v>2.2000000000000002</v>
      </c>
      <c r="I512" s="1">
        <v>1955377</v>
      </c>
      <c r="J512" s="2">
        <v>0</v>
      </c>
      <c r="K512" s="1"/>
      <c r="L512" s="1"/>
    </row>
    <row r="513" spans="1:12">
      <c r="A513">
        <v>1</v>
      </c>
      <c r="B513">
        <v>1</v>
      </c>
      <c r="C513">
        <v>0</v>
      </c>
      <c r="D513">
        <v>23</v>
      </c>
      <c r="E513">
        <v>6.3</v>
      </c>
      <c r="F513">
        <v>0.9</v>
      </c>
      <c r="G513">
        <v>0.5</v>
      </c>
      <c r="H513">
        <v>2.2000000000000002</v>
      </c>
      <c r="I513" s="1">
        <v>85300</v>
      </c>
      <c r="J513" s="2">
        <v>1</v>
      </c>
      <c r="K513" s="1"/>
      <c r="L513" s="1"/>
    </row>
    <row r="514" spans="1:12">
      <c r="A514">
        <v>0</v>
      </c>
      <c r="B514">
        <v>0</v>
      </c>
      <c r="C514">
        <v>1</v>
      </c>
      <c r="D514">
        <v>21</v>
      </c>
      <c r="E514">
        <v>7.7</v>
      </c>
      <c r="F514">
        <v>1.7</v>
      </c>
      <c r="G514">
        <v>0.8</v>
      </c>
      <c r="H514">
        <v>2.2000000000000002</v>
      </c>
      <c r="I514" s="1">
        <v>2221677</v>
      </c>
      <c r="J514" s="2">
        <v>1</v>
      </c>
      <c r="K514" s="1"/>
      <c r="L514" s="1"/>
    </row>
    <row r="515" spans="1:12">
      <c r="A515">
        <v>1</v>
      </c>
      <c r="B515">
        <v>1</v>
      </c>
      <c r="C515">
        <v>0</v>
      </c>
      <c r="D515">
        <v>6</v>
      </c>
      <c r="E515">
        <v>10.3</v>
      </c>
      <c r="F515">
        <v>0.8</v>
      </c>
      <c r="G515">
        <v>1.8</v>
      </c>
      <c r="H515">
        <v>2</v>
      </c>
      <c r="I515" s="1">
        <v>28293</v>
      </c>
      <c r="J515" s="2">
        <v>0</v>
      </c>
      <c r="K515" s="1"/>
      <c r="L515" s="1"/>
    </row>
    <row r="516" spans="1:12">
      <c r="A516">
        <v>0</v>
      </c>
      <c r="B516">
        <v>0</v>
      </c>
      <c r="C516">
        <v>1</v>
      </c>
      <c r="D516">
        <v>14</v>
      </c>
      <c r="E516">
        <v>6.6</v>
      </c>
      <c r="F516">
        <v>1.1000000000000001</v>
      </c>
      <c r="G516">
        <v>0.4</v>
      </c>
      <c r="H516">
        <v>2</v>
      </c>
      <c r="I516" s="1">
        <v>85300</v>
      </c>
      <c r="J516" s="2">
        <v>1</v>
      </c>
      <c r="K516" s="1"/>
      <c r="L516" s="1"/>
    </row>
    <row r="517" spans="1:12">
      <c r="A517">
        <v>1</v>
      </c>
      <c r="B517">
        <v>0</v>
      </c>
      <c r="C517">
        <v>1</v>
      </c>
      <c r="D517">
        <v>2</v>
      </c>
      <c r="E517">
        <v>3</v>
      </c>
      <c r="F517">
        <v>0.5</v>
      </c>
      <c r="G517">
        <v>0.5</v>
      </c>
      <c r="H517">
        <v>2</v>
      </c>
      <c r="I517" s="1">
        <v>85300</v>
      </c>
      <c r="J517" s="2">
        <v>1</v>
      </c>
      <c r="K517" s="1"/>
      <c r="L517" s="1"/>
    </row>
    <row r="518" spans="1:12">
      <c r="A518">
        <v>1</v>
      </c>
      <c r="B518">
        <v>1</v>
      </c>
      <c r="C518">
        <v>0</v>
      </c>
      <c r="D518">
        <v>1</v>
      </c>
      <c r="E518">
        <v>7</v>
      </c>
      <c r="F518">
        <v>4</v>
      </c>
      <c r="G518">
        <v>2</v>
      </c>
      <c r="H518">
        <v>2</v>
      </c>
      <c r="I518" s="1">
        <v>85300</v>
      </c>
      <c r="J518" s="2">
        <v>1</v>
      </c>
      <c r="K518" s="1"/>
      <c r="L518" s="1"/>
    </row>
    <row r="519" spans="1:12">
      <c r="A519">
        <v>0</v>
      </c>
      <c r="B519">
        <v>1</v>
      </c>
      <c r="C519">
        <v>0</v>
      </c>
      <c r="D519">
        <v>21</v>
      </c>
      <c r="E519">
        <v>4.2</v>
      </c>
      <c r="F519">
        <v>0.8</v>
      </c>
      <c r="G519">
        <v>0.3</v>
      </c>
      <c r="H519">
        <v>2</v>
      </c>
      <c r="I519" s="1">
        <v>636435</v>
      </c>
      <c r="J519" s="2">
        <v>1</v>
      </c>
      <c r="K519" s="1"/>
      <c r="L519" s="1"/>
    </row>
    <row r="520" spans="1:12">
      <c r="A520">
        <v>0</v>
      </c>
      <c r="B520">
        <v>0</v>
      </c>
      <c r="C520">
        <v>1</v>
      </c>
      <c r="D520">
        <v>5</v>
      </c>
      <c r="E520">
        <v>4.4000000000000004</v>
      </c>
      <c r="F520">
        <v>1</v>
      </c>
      <c r="G520">
        <v>0</v>
      </c>
      <c r="H520">
        <v>2</v>
      </c>
      <c r="I520" s="1">
        <v>149965</v>
      </c>
      <c r="J520" s="2">
        <v>1</v>
      </c>
      <c r="K520" s="1"/>
      <c r="L520" s="1"/>
    </row>
    <row r="521" spans="1:12">
      <c r="A521">
        <v>0</v>
      </c>
      <c r="B521">
        <v>0</v>
      </c>
      <c r="C521">
        <v>1</v>
      </c>
      <c r="D521">
        <v>43</v>
      </c>
      <c r="E521">
        <v>10.7</v>
      </c>
      <c r="F521">
        <v>2</v>
      </c>
      <c r="G521">
        <v>0.6</v>
      </c>
      <c r="H521">
        <v>2</v>
      </c>
      <c r="I521" s="1">
        <v>11000000</v>
      </c>
      <c r="J521" s="2">
        <v>0</v>
      </c>
      <c r="K521" s="1"/>
      <c r="L521" s="1"/>
    </row>
    <row r="522" spans="1:12">
      <c r="A522">
        <v>0</v>
      </c>
      <c r="B522">
        <v>1</v>
      </c>
      <c r="C522">
        <v>0</v>
      </c>
      <c r="D522">
        <v>44</v>
      </c>
      <c r="E522">
        <v>6.4</v>
      </c>
      <c r="F522">
        <v>0.7</v>
      </c>
      <c r="G522">
        <v>0.9</v>
      </c>
      <c r="H522">
        <v>2</v>
      </c>
      <c r="I522" s="1">
        <v>2874436</v>
      </c>
      <c r="J522" s="2">
        <v>1</v>
      </c>
      <c r="K522" s="1"/>
      <c r="L522" s="1"/>
    </row>
    <row r="523" spans="1:12">
      <c r="A523">
        <v>1</v>
      </c>
      <c r="B523">
        <v>1</v>
      </c>
      <c r="C523">
        <v>0</v>
      </c>
      <c r="D523">
        <v>4</v>
      </c>
      <c r="E523">
        <v>6</v>
      </c>
      <c r="F523">
        <v>0.8</v>
      </c>
      <c r="G523">
        <v>1</v>
      </c>
      <c r="H523">
        <v>2</v>
      </c>
      <c r="I523" s="1">
        <v>201172</v>
      </c>
      <c r="J523" s="2">
        <v>1</v>
      </c>
      <c r="K523" s="1"/>
      <c r="L523" s="1"/>
    </row>
    <row r="524" spans="1:12">
      <c r="A524">
        <v>0</v>
      </c>
      <c r="B524">
        <v>1</v>
      </c>
      <c r="C524">
        <v>0</v>
      </c>
      <c r="D524">
        <v>7</v>
      </c>
      <c r="E524">
        <v>4.4000000000000004</v>
      </c>
      <c r="F524">
        <v>0.4</v>
      </c>
      <c r="G524">
        <v>0.7</v>
      </c>
      <c r="H524">
        <v>1.9</v>
      </c>
      <c r="I524" s="1">
        <v>193857</v>
      </c>
      <c r="J524" s="2">
        <v>1</v>
      </c>
      <c r="K524" s="1"/>
      <c r="L524" s="1"/>
    </row>
    <row r="525" spans="1:12">
      <c r="A525">
        <v>0</v>
      </c>
      <c r="B525">
        <v>0</v>
      </c>
      <c r="C525">
        <v>1</v>
      </c>
      <c r="D525">
        <v>25</v>
      </c>
      <c r="E525">
        <v>6</v>
      </c>
      <c r="F525">
        <v>1.1000000000000001</v>
      </c>
      <c r="G525">
        <v>0.4</v>
      </c>
      <c r="H525">
        <v>1.9</v>
      </c>
      <c r="I525" s="1">
        <v>1272870</v>
      </c>
      <c r="J525" s="2">
        <v>1</v>
      </c>
      <c r="K525" s="1"/>
      <c r="L525" s="1"/>
    </row>
    <row r="526" spans="1:12">
      <c r="A526">
        <v>1</v>
      </c>
      <c r="B526">
        <v>0</v>
      </c>
      <c r="C526">
        <v>1</v>
      </c>
      <c r="D526">
        <v>12</v>
      </c>
      <c r="E526">
        <v>5.9</v>
      </c>
      <c r="F526">
        <v>1.6</v>
      </c>
      <c r="G526">
        <v>0.5</v>
      </c>
      <c r="H526">
        <v>1.8</v>
      </c>
      <c r="I526" s="1">
        <v>1955377</v>
      </c>
      <c r="J526" s="2">
        <v>0</v>
      </c>
      <c r="K526" s="1"/>
      <c r="L526" s="1"/>
    </row>
    <row r="527" spans="1:12">
      <c r="A527">
        <v>0</v>
      </c>
      <c r="B527">
        <v>0</v>
      </c>
      <c r="C527">
        <v>1</v>
      </c>
      <c r="D527">
        <v>36</v>
      </c>
      <c r="E527">
        <v>9.6</v>
      </c>
      <c r="F527">
        <v>1.7</v>
      </c>
      <c r="G527">
        <v>0.6</v>
      </c>
      <c r="H527">
        <v>1.8</v>
      </c>
      <c r="I527" s="1">
        <v>85300</v>
      </c>
      <c r="J527" s="2">
        <v>1</v>
      </c>
      <c r="K527" s="1"/>
      <c r="L527" s="1"/>
    </row>
    <row r="528" spans="1:12">
      <c r="A528">
        <v>1</v>
      </c>
      <c r="B528">
        <v>0</v>
      </c>
      <c r="C528">
        <v>1</v>
      </c>
      <c r="D528">
        <v>4</v>
      </c>
      <c r="E528">
        <v>13.8</v>
      </c>
      <c r="F528">
        <v>3.5</v>
      </c>
      <c r="G528">
        <v>0.5</v>
      </c>
      <c r="H528">
        <v>1.8</v>
      </c>
      <c r="I528" s="1">
        <v>165197</v>
      </c>
      <c r="J528" s="2">
        <v>1</v>
      </c>
      <c r="K528" s="1"/>
      <c r="L528" s="1"/>
    </row>
    <row r="529" spans="1:12">
      <c r="A529">
        <v>1</v>
      </c>
      <c r="B529">
        <v>0</v>
      </c>
      <c r="C529">
        <v>0</v>
      </c>
      <c r="D529">
        <v>4</v>
      </c>
      <c r="E529">
        <v>6.3</v>
      </c>
      <c r="F529">
        <v>1</v>
      </c>
      <c r="G529">
        <v>0.8</v>
      </c>
      <c r="H529">
        <v>1.8</v>
      </c>
      <c r="I529" s="1">
        <v>636435</v>
      </c>
      <c r="J529" s="2">
        <v>1</v>
      </c>
      <c r="K529" s="1"/>
      <c r="L529" s="1"/>
    </row>
    <row r="530" spans="1:12">
      <c r="A530">
        <v>1</v>
      </c>
      <c r="B530">
        <v>1</v>
      </c>
      <c r="C530">
        <v>0</v>
      </c>
      <c r="D530">
        <v>14</v>
      </c>
      <c r="E530">
        <v>4.0999999999999996</v>
      </c>
      <c r="F530">
        <v>0.3</v>
      </c>
      <c r="G530">
        <v>0.6</v>
      </c>
      <c r="H530">
        <v>1.8</v>
      </c>
      <c r="I530" s="1">
        <v>23546</v>
      </c>
      <c r="J530" s="2">
        <v>1</v>
      </c>
      <c r="K530" s="1"/>
      <c r="L530" s="1"/>
    </row>
    <row r="531" spans="1:12">
      <c r="A531">
        <v>0</v>
      </c>
      <c r="B531">
        <v>1</v>
      </c>
      <c r="C531">
        <v>0</v>
      </c>
      <c r="D531">
        <v>40</v>
      </c>
      <c r="E531">
        <v>8.6999999999999993</v>
      </c>
      <c r="F531">
        <v>2</v>
      </c>
      <c r="G531">
        <v>0.6</v>
      </c>
      <c r="H531">
        <v>1.7</v>
      </c>
      <c r="I531" s="1">
        <v>85300</v>
      </c>
      <c r="J531" s="2">
        <v>1</v>
      </c>
      <c r="K531" s="1"/>
      <c r="L531" s="1"/>
    </row>
    <row r="532" spans="1:12">
      <c r="A532">
        <v>1</v>
      </c>
      <c r="B532">
        <v>1</v>
      </c>
      <c r="C532">
        <v>0</v>
      </c>
      <c r="D532">
        <v>29</v>
      </c>
      <c r="E532">
        <v>4.7</v>
      </c>
      <c r="F532">
        <v>0.9</v>
      </c>
      <c r="G532">
        <v>0.4</v>
      </c>
      <c r="H532">
        <v>1.7</v>
      </c>
      <c r="I532" s="1">
        <v>2847600</v>
      </c>
      <c r="J532" s="2">
        <v>0</v>
      </c>
      <c r="K532" s="1"/>
      <c r="L532" s="1"/>
    </row>
    <row r="533" spans="1:12">
      <c r="A533">
        <v>1</v>
      </c>
      <c r="B533">
        <v>1</v>
      </c>
      <c r="C533">
        <v>0</v>
      </c>
      <c r="D533">
        <v>6</v>
      </c>
      <c r="E533">
        <v>10</v>
      </c>
      <c r="F533">
        <v>1</v>
      </c>
      <c r="G533">
        <v>0.7</v>
      </c>
      <c r="H533">
        <v>1.7</v>
      </c>
      <c r="I533" s="1">
        <v>85300</v>
      </c>
      <c r="J533" s="2">
        <v>1</v>
      </c>
      <c r="K533" s="1"/>
      <c r="L533" s="1"/>
    </row>
    <row r="534" spans="1:12">
      <c r="A534">
        <v>0</v>
      </c>
      <c r="B534">
        <v>0</v>
      </c>
      <c r="C534">
        <v>0</v>
      </c>
      <c r="D534">
        <v>20</v>
      </c>
      <c r="E534">
        <v>8.6</v>
      </c>
      <c r="F534">
        <v>2.7</v>
      </c>
      <c r="G534">
        <v>1</v>
      </c>
      <c r="H534">
        <v>1.6</v>
      </c>
      <c r="I534" s="1">
        <v>939867</v>
      </c>
      <c r="J534" s="2">
        <v>1</v>
      </c>
      <c r="K534" s="1"/>
      <c r="L534" s="1"/>
    </row>
    <row r="535" spans="1:12">
      <c r="A535">
        <v>0</v>
      </c>
      <c r="B535">
        <v>0</v>
      </c>
      <c r="C535">
        <v>1</v>
      </c>
      <c r="D535">
        <v>7</v>
      </c>
      <c r="E535">
        <v>3.7</v>
      </c>
      <c r="F535">
        <v>0.4</v>
      </c>
      <c r="G535">
        <v>0.1</v>
      </c>
      <c r="H535">
        <v>1.6</v>
      </c>
      <c r="I535" s="1">
        <v>85300</v>
      </c>
      <c r="J535" s="2">
        <v>1</v>
      </c>
      <c r="K535" s="1"/>
      <c r="L535" s="1"/>
    </row>
    <row r="536" spans="1:12">
      <c r="A536">
        <v>1</v>
      </c>
      <c r="B536">
        <v>0</v>
      </c>
      <c r="C536">
        <v>1</v>
      </c>
      <c r="D536">
        <v>5</v>
      </c>
      <c r="E536">
        <v>3.4</v>
      </c>
      <c r="F536">
        <v>0.2</v>
      </c>
      <c r="G536">
        <v>0.2</v>
      </c>
      <c r="H536">
        <v>1.6</v>
      </c>
      <c r="I536" s="1">
        <v>85300</v>
      </c>
      <c r="J536" s="2">
        <v>1</v>
      </c>
      <c r="K536" s="1"/>
      <c r="L536" s="1"/>
    </row>
    <row r="537" spans="1:12">
      <c r="A537">
        <v>1</v>
      </c>
      <c r="B537">
        <v>0</v>
      </c>
      <c r="C537">
        <v>0</v>
      </c>
      <c r="D537">
        <v>30</v>
      </c>
      <c r="E537">
        <v>6.1</v>
      </c>
      <c r="F537">
        <v>1.4</v>
      </c>
      <c r="G537">
        <v>0.4</v>
      </c>
      <c r="H537">
        <v>1.5</v>
      </c>
      <c r="I537" s="1">
        <v>2546675</v>
      </c>
      <c r="J537" s="2">
        <v>1</v>
      </c>
      <c r="K537" s="1"/>
      <c r="L537" s="1"/>
    </row>
    <row r="538" spans="1:12">
      <c r="A538">
        <v>0</v>
      </c>
      <c r="B538">
        <v>0</v>
      </c>
      <c r="C538">
        <v>1</v>
      </c>
      <c r="D538">
        <v>4</v>
      </c>
      <c r="E538">
        <v>3.8</v>
      </c>
      <c r="F538">
        <v>0</v>
      </c>
      <c r="G538">
        <v>0</v>
      </c>
      <c r="H538">
        <v>1.5</v>
      </c>
      <c r="I538" s="1">
        <v>241406</v>
      </c>
      <c r="J538" s="2">
        <v>1</v>
      </c>
      <c r="K538" s="1"/>
      <c r="L538" s="1"/>
    </row>
    <row r="539" spans="1:12">
      <c r="A539">
        <v>0</v>
      </c>
      <c r="B539">
        <v>0</v>
      </c>
      <c r="C539">
        <v>1</v>
      </c>
      <c r="D539">
        <v>27</v>
      </c>
      <c r="E539">
        <v>5.7</v>
      </c>
      <c r="F539">
        <v>0.7</v>
      </c>
      <c r="G539">
        <v>1.3</v>
      </c>
      <c r="H539">
        <v>1.5</v>
      </c>
      <c r="I539" s="1">
        <v>3634153</v>
      </c>
      <c r="J539" s="2">
        <v>0</v>
      </c>
      <c r="K539" s="1"/>
      <c r="L539" s="1"/>
    </row>
    <row r="540" spans="1:12">
      <c r="A540">
        <v>1</v>
      </c>
      <c r="B540">
        <v>0</v>
      </c>
      <c r="C540">
        <v>1</v>
      </c>
      <c r="D540">
        <v>40</v>
      </c>
      <c r="E540">
        <v>6.2</v>
      </c>
      <c r="F540">
        <v>1.7</v>
      </c>
      <c r="G540">
        <v>0.6</v>
      </c>
      <c r="H540">
        <v>1.5</v>
      </c>
      <c r="I540" s="1">
        <v>1955377</v>
      </c>
      <c r="J540" s="2">
        <v>1</v>
      </c>
      <c r="K540" s="1"/>
      <c r="L540" s="1"/>
    </row>
    <row r="541" spans="1:12">
      <c r="A541">
        <v>1</v>
      </c>
      <c r="B541">
        <v>0</v>
      </c>
      <c r="C541">
        <v>1</v>
      </c>
      <c r="D541">
        <v>34</v>
      </c>
      <c r="E541">
        <v>4.4000000000000004</v>
      </c>
      <c r="F541">
        <v>0.9</v>
      </c>
      <c r="G541">
        <v>0.4</v>
      </c>
      <c r="H541">
        <v>1.4</v>
      </c>
      <c r="I541" s="1">
        <v>2874436</v>
      </c>
      <c r="J541" s="2">
        <v>0</v>
      </c>
      <c r="K541" s="1"/>
      <c r="L541" s="1"/>
    </row>
    <row r="542" spans="1:12">
      <c r="A542">
        <v>1</v>
      </c>
      <c r="B542">
        <v>0</v>
      </c>
      <c r="C542">
        <v>1</v>
      </c>
      <c r="D542">
        <v>22</v>
      </c>
      <c r="E542">
        <v>6.6</v>
      </c>
      <c r="F542">
        <v>1.8</v>
      </c>
      <c r="G542">
        <v>0.5</v>
      </c>
      <c r="H542">
        <v>1.4</v>
      </c>
      <c r="I542" s="1">
        <v>490128</v>
      </c>
      <c r="J542" s="2">
        <v>0</v>
      </c>
      <c r="K542" s="1"/>
      <c r="L542" s="1"/>
    </row>
    <row r="543" spans="1:12">
      <c r="A543">
        <v>1</v>
      </c>
      <c r="B543">
        <v>0</v>
      </c>
      <c r="C543">
        <v>0</v>
      </c>
      <c r="D543">
        <v>4</v>
      </c>
      <c r="E543">
        <v>5.3</v>
      </c>
      <c r="F543">
        <v>2</v>
      </c>
      <c r="G543">
        <v>0.3</v>
      </c>
      <c r="H543">
        <v>1.3</v>
      </c>
      <c r="I543" s="1">
        <v>85300</v>
      </c>
      <c r="J543" s="2">
        <v>1</v>
      </c>
      <c r="K543" s="1"/>
      <c r="L543" s="1"/>
    </row>
    <row r="544" spans="1:12">
      <c r="A544">
        <v>0</v>
      </c>
      <c r="B544">
        <v>0</v>
      </c>
      <c r="C544">
        <v>1</v>
      </c>
      <c r="D544">
        <v>27</v>
      </c>
      <c r="E544">
        <v>7.2</v>
      </c>
      <c r="F544">
        <v>1.2</v>
      </c>
      <c r="G544">
        <v>0.3</v>
      </c>
      <c r="H544">
        <v>1.3</v>
      </c>
      <c r="I544" s="1">
        <v>2048494</v>
      </c>
      <c r="J544" s="2">
        <v>1</v>
      </c>
      <c r="K544" s="1"/>
      <c r="L544" s="1"/>
    </row>
    <row r="545" spans="1:12">
      <c r="A545">
        <v>1</v>
      </c>
      <c r="B545">
        <v>0</v>
      </c>
      <c r="C545">
        <v>1</v>
      </c>
      <c r="D545">
        <v>7</v>
      </c>
      <c r="E545">
        <v>5.6</v>
      </c>
      <c r="F545">
        <v>1</v>
      </c>
      <c r="G545">
        <v>0.6</v>
      </c>
      <c r="H545">
        <v>1.3</v>
      </c>
      <c r="I545" s="1">
        <v>3056867</v>
      </c>
      <c r="J545" s="2">
        <v>1</v>
      </c>
      <c r="K545" s="1"/>
      <c r="L545" s="1"/>
    </row>
    <row r="546" spans="1:12">
      <c r="A546">
        <v>0</v>
      </c>
      <c r="B546">
        <v>1</v>
      </c>
      <c r="C546">
        <v>0</v>
      </c>
      <c r="D546">
        <v>16</v>
      </c>
      <c r="E546">
        <v>5.5</v>
      </c>
      <c r="F546">
        <v>0.4</v>
      </c>
      <c r="G546">
        <v>1.1000000000000001</v>
      </c>
      <c r="H546">
        <v>1.3</v>
      </c>
      <c r="I546" s="1">
        <v>636435</v>
      </c>
      <c r="J546" s="2">
        <v>1</v>
      </c>
      <c r="K546" s="1"/>
      <c r="L546" s="1"/>
    </row>
    <row r="547" spans="1:12">
      <c r="A547">
        <v>0</v>
      </c>
      <c r="B547">
        <v>1</v>
      </c>
      <c r="C547">
        <v>0</v>
      </c>
      <c r="D547">
        <v>19</v>
      </c>
      <c r="E547">
        <v>4.9000000000000004</v>
      </c>
      <c r="F547">
        <v>1</v>
      </c>
      <c r="G547">
        <v>0.4</v>
      </c>
      <c r="H547">
        <v>1.2</v>
      </c>
      <c r="I547" s="1">
        <v>636435</v>
      </c>
      <c r="J547" s="2">
        <v>1</v>
      </c>
      <c r="K547" s="1"/>
      <c r="L547" s="1"/>
    </row>
    <row r="548" spans="1:12">
      <c r="A548">
        <v>1</v>
      </c>
      <c r="B548">
        <v>1</v>
      </c>
      <c r="C548">
        <v>0</v>
      </c>
      <c r="D548">
        <v>14</v>
      </c>
      <c r="E548">
        <v>8.4</v>
      </c>
      <c r="F548">
        <v>0.6</v>
      </c>
      <c r="G548">
        <v>0.8</v>
      </c>
      <c r="H548">
        <v>1.2</v>
      </c>
      <c r="I548" s="1">
        <v>3634153</v>
      </c>
      <c r="J548" s="2">
        <v>1</v>
      </c>
      <c r="K548" s="1"/>
      <c r="L548" s="1"/>
    </row>
    <row r="549" spans="1:12">
      <c r="A549">
        <v>1</v>
      </c>
      <c r="B549">
        <v>0</v>
      </c>
      <c r="C549">
        <v>0</v>
      </c>
      <c r="D549">
        <v>13</v>
      </c>
      <c r="E549">
        <v>6.3</v>
      </c>
      <c r="F549">
        <v>1.4</v>
      </c>
      <c r="G549">
        <v>0.4</v>
      </c>
      <c r="H549">
        <v>1</v>
      </c>
      <c r="I549" s="1">
        <v>85300</v>
      </c>
      <c r="J549" s="2">
        <v>1</v>
      </c>
      <c r="K549" s="1"/>
      <c r="L549" s="1"/>
    </row>
    <row r="550" spans="1:12">
      <c r="A550">
        <v>1</v>
      </c>
      <c r="B550">
        <v>1</v>
      </c>
      <c r="C550">
        <v>0</v>
      </c>
      <c r="D550">
        <v>8</v>
      </c>
      <c r="E550">
        <v>1.9</v>
      </c>
      <c r="F550">
        <v>0.3</v>
      </c>
      <c r="G550">
        <v>0</v>
      </c>
      <c r="H550">
        <v>1</v>
      </c>
      <c r="I550" s="1">
        <v>197514</v>
      </c>
      <c r="J550" s="2">
        <v>1</v>
      </c>
      <c r="K550" s="1"/>
      <c r="L550" s="1"/>
    </row>
    <row r="551" spans="1:12">
      <c r="A551">
        <v>1</v>
      </c>
      <c r="B551">
        <v>1</v>
      </c>
      <c r="C551">
        <v>0</v>
      </c>
      <c r="D551">
        <v>7</v>
      </c>
      <c r="E551">
        <v>3.7</v>
      </c>
      <c r="F551">
        <v>0.1</v>
      </c>
      <c r="G551">
        <v>0.6</v>
      </c>
      <c r="H551">
        <v>1</v>
      </c>
      <c r="I551" s="1">
        <v>85300</v>
      </c>
      <c r="J551" s="2">
        <v>1</v>
      </c>
      <c r="K551" s="1"/>
      <c r="L551" s="1"/>
    </row>
    <row r="552" spans="1:12">
      <c r="A552">
        <v>0</v>
      </c>
      <c r="B552">
        <v>0</v>
      </c>
      <c r="C552">
        <v>0</v>
      </c>
      <c r="D552">
        <v>5</v>
      </c>
      <c r="E552">
        <v>8.1999999999999993</v>
      </c>
      <c r="F552">
        <v>1.2</v>
      </c>
      <c r="G552">
        <v>0.4</v>
      </c>
      <c r="H552">
        <v>1</v>
      </c>
      <c r="I552" s="1">
        <v>5426400</v>
      </c>
      <c r="J552" s="2">
        <v>0</v>
      </c>
      <c r="K552" s="1"/>
      <c r="L552" s="1"/>
    </row>
    <row r="553" spans="1:12">
      <c r="A553">
        <v>0</v>
      </c>
      <c r="B553">
        <v>1</v>
      </c>
      <c r="C553">
        <v>0</v>
      </c>
      <c r="D553">
        <v>2</v>
      </c>
      <c r="E553">
        <v>3.5</v>
      </c>
      <c r="F553">
        <v>0</v>
      </c>
      <c r="G553">
        <v>0.5</v>
      </c>
      <c r="H553">
        <v>1</v>
      </c>
      <c r="I553" s="1">
        <v>234091</v>
      </c>
      <c r="J553" s="2">
        <v>1</v>
      </c>
      <c r="K553" s="1"/>
      <c r="L553" s="1"/>
    </row>
    <row r="554" spans="1:12">
      <c r="A554">
        <v>0</v>
      </c>
      <c r="B554">
        <v>0</v>
      </c>
      <c r="C554">
        <v>0</v>
      </c>
      <c r="D554">
        <v>25</v>
      </c>
      <c r="E554">
        <v>5.6</v>
      </c>
      <c r="F554">
        <v>1</v>
      </c>
      <c r="G554">
        <v>0.2</v>
      </c>
      <c r="H554">
        <v>0.9</v>
      </c>
      <c r="I554" s="1">
        <v>3634153</v>
      </c>
      <c r="J554" s="2">
        <v>0</v>
      </c>
      <c r="K554" s="1"/>
      <c r="L554" s="1"/>
    </row>
    <row r="555" spans="1:12">
      <c r="A555">
        <v>1</v>
      </c>
      <c r="B555">
        <v>0</v>
      </c>
      <c r="C555">
        <v>0</v>
      </c>
      <c r="D555">
        <v>11</v>
      </c>
      <c r="E555">
        <v>5</v>
      </c>
      <c r="F555">
        <v>1.5</v>
      </c>
      <c r="G555">
        <v>0.4</v>
      </c>
      <c r="H555">
        <v>0.9</v>
      </c>
      <c r="I555" s="1">
        <v>1272870</v>
      </c>
      <c r="J555" s="2">
        <v>1</v>
      </c>
      <c r="K555" s="1"/>
      <c r="L555" s="1"/>
    </row>
    <row r="556" spans="1:12">
      <c r="A556">
        <v>1</v>
      </c>
      <c r="B556">
        <v>0</v>
      </c>
      <c r="C556">
        <v>0</v>
      </c>
      <c r="D556">
        <v>4</v>
      </c>
      <c r="E556">
        <v>3.8</v>
      </c>
      <c r="F556">
        <v>1.8</v>
      </c>
      <c r="G556">
        <v>0</v>
      </c>
      <c r="H556">
        <v>0.8</v>
      </c>
      <c r="I556" s="1">
        <v>2048494</v>
      </c>
      <c r="J556" s="2">
        <v>0</v>
      </c>
      <c r="K556" s="1"/>
      <c r="L556" s="1"/>
    </row>
    <row r="557" spans="1:12">
      <c r="A557">
        <v>1</v>
      </c>
      <c r="B557">
        <v>1</v>
      </c>
      <c r="C557">
        <v>0</v>
      </c>
      <c r="D557">
        <v>5</v>
      </c>
      <c r="E557">
        <v>7.2</v>
      </c>
      <c r="F557">
        <v>0.2</v>
      </c>
      <c r="G557">
        <v>1.6</v>
      </c>
      <c r="H557">
        <v>0.8</v>
      </c>
      <c r="I557" s="1">
        <v>188932</v>
      </c>
      <c r="J557" s="2">
        <v>1</v>
      </c>
      <c r="K557" s="1"/>
      <c r="L557" s="1"/>
    </row>
    <row r="558" spans="1:12">
      <c r="A558">
        <v>1</v>
      </c>
      <c r="B558">
        <v>0</v>
      </c>
      <c r="C558">
        <v>0</v>
      </c>
      <c r="D558">
        <v>9</v>
      </c>
      <c r="E558">
        <v>2.7</v>
      </c>
      <c r="F558">
        <v>1</v>
      </c>
      <c r="G558">
        <v>0.3</v>
      </c>
      <c r="H558">
        <v>0.8</v>
      </c>
      <c r="I558" s="1">
        <v>85300</v>
      </c>
      <c r="J558" s="2">
        <v>0</v>
      </c>
      <c r="K558" s="1"/>
      <c r="L558" s="1"/>
    </row>
    <row r="559" spans="1:12">
      <c r="A559">
        <v>0</v>
      </c>
      <c r="B559">
        <v>1</v>
      </c>
      <c r="C559">
        <v>0</v>
      </c>
      <c r="D559">
        <v>9</v>
      </c>
      <c r="E559">
        <v>5.0999999999999996</v>
      </c>
      <c r="F559">
        <v>1.1000000000000001</v>
      </c>
      <c r="G559">
        <v>0.3</v>
      </c>
      <c r="H559">
        <v>0.8</v>
      </c>
      <c r="I559" s="1">
        <v>636435</v>
      </c>
      <c r="J559" s="2">
        <v>1</v>
      </c>
      <c r="K559" s="1"/>
      <c r="L559" s="1"/>
    </row>
    <row r="560" spans="1:12">
      <c r="A560">
        <v>1</v>
      </c>
      <c r="B560">
        <v>0</v>
      </c>
      <c r="C560">
        <v>1</v>
      </c>
      <c r="D560">
        <v>6</v>
      </c>
      <c r="E560">
        <v>10.7</v>
      </c>
      <c r="F560">
        <v>1.5</v>
      </c>
      <c r="G560">
        <v>0.3</v>
      </c>
      <c r="H560">
        <v>0.8</v>
      </c>
      <c r="I560" s="1">
        <v>85300</v>
      </c>
      <c r="J560" s="2">
        <v>1</v>
      </c>
      <c r="K560" s="1"/>
      <c r="L560" s="1"/>
    </row>
    <row r="561" spans="1:12">
      <c r="A561">
        <v>1</v>
      </c>
      <c r="B561">
        <v>1</v>
      </c>
      <c r="C561">
        <v>0</v>
      </c>
      <c r="D561">
        <v>22</v>
      </c>
      <c r="E561">
        <v>3.3</v>
      </c>
      <c r="F561">
        <v>0.4</v>
      </c>
      <c r="G561">
        <v>0.4</v>
      </c>
      <c r="H561">
        <v>0.8</v>
      </c>
      <c r="I561" s="1">
        <v>3634153</v>
      </c>
      <c r="J561" s="2">
        <v>1</v>
      </c>
      <c r="K561" s="1"/>
      <c r="L561" s="1"/>
    </row>
    <row r="562" spans="1:12">
      <c r="A562">
        <v>1</v>
      </c>
      <c r="B562">
        <v>1</v>
      </c>
      <c r="C562">
        <v>0</v>
      </c>
      <c r="D562">
        <v>11</v>
      </c>
      <c r="E562">
        <v>3.3</v>
      </c>
      <c r="F562">
        <v>0.5</v>
      </c>
      <c r="G562">
        <v>0.2</v>
      </c>
      <c r="H562">
        <v>0.6</v>
      </c>
      <c r="I562" s="1">
        <v>212145</v>
      </c>
      <c r="J562" s="2">
        <v>0</v>
      </c>
      <c r="K562" s="1"/>
      <c r="L562" s="1"/>
    </row>
    <row r="563" spans="1:12">
      <c r="A563">
        <v>0</v>
      </c>
      <c r="B563">
        <v>0</v>
      </c>
      <c r="C563">
        <v>1</v>
      </c>
      <c r="D563">
        <v>8</v>
      </c>
      <c r="E563">
        <v>4</v>
      </c>
      <c r="F563">
        <v>0.4</v>
      </c>
      <c r="G563">
        <v>0.1</v>
      </c>
      <c r="H563">
        <v>0.1</v>
      </c>
      <c r="I563" s="1">
        <v>85300</v>
      </c>
      <c r="J563" s="2">
        <v>0</v>
      </c>
      <c r="K563" s="1"/>
      <c r="L563" s="1"/>
    </row>
    <row r="564" spans="1:12">
      <c r="A564">
        <v>1</v>
      </c>
      <c r="B564">
        <v>1</v>
      </c>
      <c r="C564">
        <v>0</v>
      </c>
      <c r="D564">
        <v>1</v>
      </c>
      <c r="E564">
        <v>3</v>
      </c>
      <c r="F564">
        <v>1</v>
      </c>
      <c r="G564">
        <v>0</v>
      </c>
      <c r="H564">
        <v>0</v>
      </c>
      <c r="I564" s="1">
        <v>190199</v>
      </c>
      <c r="J564" s="2">
        <v>1</v>
      </c>
      <c r="K564" s="1"/>
      <c r="L564" s="1"/>
    </row>
    <row r="565" spans="1:12">
      <c r="A565">
        <v>1</v>
      </c>
      <c r="B565">
        <v>0</v>
      </c>
      <c r="C565">
        <v>1</v>
      </c>
      <c r="D565">
        <v>2</v>
      </c>
      <c r="E565">
        <v>3</v>
      </c>
      <c r="F565">
        <v>0</v>
      </c>
      <c r="G565">
        <v>0</v>
      </c>
      <c r="H565">
        <v>0</v>
      </c>
      <c r="I565" s="1">
        <v>5429520</v>
      </c>
      <c r="J565" s="2">
        <v>0</v>
      </c>
      <c r="K565" s="1"/>
      <c r="L565" s="1"/>
    </row>
    <row r="566" spans="1:12">
      <c r="A566">
        <v>1</v>
      </c>
      <c r="B566">
        <v>0</v>
      </c>
      <c r="C566">
        <v>1</v>
      </c>
      <c r="D566">
        <v>5</v>
      </c>
      <c r="E566">
        <v>1.6</v>
      </c>
      <c r="F566">
        <v>0.4</v>
      </c>
      <c r="G566">
        <v>0</v>
      </c>
      <c r="H566">
        <v>0</v>
      </c>
      <c r="I566" s="1">
        <v>537677</v>
      </c>
      <c r="J566" s="2">
        <v>0</v>
      </c>
      <c r="K566" s="1"/>
      <c r="L566" s="1"/>
    </row>
    <row r="567" spans="1:12">
      <c r="A567">
        <v>1</v>
      </c>
      <c r="B567">
        <v>1</v>
      </c>
      <c r="C567">
        <v>0</v>
      </c>
      <c r="D567">
        <v>2</v>
      </c>
      <c r="E567">
        <v>6.5</v>
      </c>
      <c r="F567">
        <v>0.5</v>
      </c>
      <c r="G567">
        <v>1</v>
      </c>
      <c r="H567">
        <v>0</v>
      </c>
      <c r="I567" s="1">
        <v>85300</v>
      </c>
      <c r="J567" s="2">
        <v>1</v>
      </c>
      <c r="K567" s="1"/>
      <c r="L56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A0EF-702C-4177-BF03-0F23FEF95399}">
  <dimension ref="A1:V567"/>
  <sheetViews>
    <sheetView topLeftCell="G4" workbookViewId="0">
      <selection activeCell="R27" sqref="R27"/>
    </sheetView>
  </sheetViews>
  <sheetFormatPr defaultRowHeight="15"/>
  <cols>
    <col min="15" max="15" width="11.140625" customWidth="1"/>
  </cols>
  <sheetData>
    <row r="1" spans="1:21">
      <c r="A1" t="s">
        <v>2</v>
      </c>
      <c r="B1" t="s">
        <v>4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21">
      <c r="A2">
        <v>0</v>
      </c>
      <c r="B2">
        <v>1</v>
      </c>
      <c r="C2">
        <v>64</v>
      </c>
      <c r="D2">
        <v>35.799999999999997</v>
      </c>
      <c r="E2">
        <v>7.7</v>
      </c>
      <c r="F2">
        <v>8.3000000000000007</v>
      </c>
      <c r="G2">
        <v>33.5</v>
      </c>
      <c r="H2">
        <v>45999660</v>
      </c>
      <c r="I2">
        <v>0</v>
      </c>
      <c r="N2" t="s">
        <v>620</v>
      </c>
      <c r="P2" t="s">
        <v>621</v>
      </c>
    </row>
    <row r="3" spans="1:21">
      <c r="A3">
        <v>0</v>
      </c>
      <c r="B3">
        <v>1</v>
      </c>
      <c r="C3">
        <v>68</v>
      </c>
      <c r="D3">
        <v>33.200000000000003</v>
      </c>
      <c r="E3">
        <v>4.3</v>
      </c>
      <c r="F3">
        <v>6.6</v>
      </c>
      <c r="G3">
        <v>31.1</v>
      </c>
      <c r="H3">
        <v>38333050</v>
      </c>
      <c r="I3">
        <v>0</v>
      </c>
      <c r="N3" t="s">
        <v>588</v>
      </c>
    </row>
    <row r="4" spans="1:21">
      <c r="A4">
        <v>0</v>
      </c>
      <c r="B4">
        <v>1</v>
      </c>
      <c r="C4">
        <v>61</v>
      </c>
      <c r="D4">
        <v>35</v>
      </c>
      <c r="E4">
        <v>5</v>
      </c>
      <c r="F4">
        <v>3.7</v>
      </c>
      <c r="G4">
        <v>28.8</v>
      </c>
      <c r="H4">
        <v>45550512</v>
      </c>
      <c r="I4">
        <v>1</v>
      </c>
    </row>
    <row r="5" spans="1:21">
      <c r="A5">
        <v>1</v>
      </c>
      <c r="B5">
        <v>0</v>
      </c>
      <c r="C5">
        <v>71</v>
      </c>
      <c r="D5">
        <v>34.4</v>
      </c>
      <c r="E5">
        <v>6.9</v>
      </c>
      <c r="F5">
        <v>5.0999999999999996</v>
      </c>
      <c r="G5">
        <v>28.7</v>
      </c>
      <c r="H5">
        <v>53142264</v>
      </c>
      <c r="I5">
        <v>1</v>
      </c>
      <c r="N5" s="3" t="s">
        <v>589</v>
      </c>
      <c r="O5" s="3"/>
      <c r="Q5" s="16" t="s">
        <v>622</v>
      </c>
      <c r="R5" s="15"/>
      <c r="S5" s="15"/>
      <c r="T5" s="15"/>
      <c r="U5" s="15"/>
    </row>
    <row r="6" spans="1:21">
      <c r="A6">
        <v>1</v>
      </c>
      <c r="B6">
        <v>1</v>
      </c>
      <c r="C6">
        <v>70</v>
      </c>
      <c r="D6">
        <v>38</v>
      </c>
      <c r="E6">
        <v>4.0999999999999996</v>
      </c>
      <c r="F6">
        <v>6.6</v>
      </c>
      <c r="G6">
        <v>28.3</v>
      </c>
      <c r="H6">
        <v>37958760</v>
      </c>
      <c r="I6">
        <v>1</v>
      </c>
      <c r="N6" t="s">
        <v>590</v>
      </c>
      <c r="O6">
        <v>0.78702028367657861</v>
      </c>
      <c r="Q6" s="16" t="s">
        <v>623</v>
      </c>
      <c r="R6" s="15"/>
      <c r="S6" s="15"/>
      <c r="T6" s="15"/>
      <c r="U6" s="15"/>
    </row>
    <row r="7" spans="1:21">
      <c r="A7">
        <v>0</v>
      </c>
      <c r="B7">
        <v>0</v>
      </c>
      <c r="C7">
        <v>65</v>
      </c>
      <c r="D7">
        <v>32.1</v>
      </c>
      <c r="E7">
        <v>6.4</v>
      </c>
      <c r="F7">
        <v>3.6</v>
      </c>
      <c r="G7">
        <v>27.9</v>
      </c>
      <c r="H7">
        <v>50000000</v>
      </c>
      <c r="I7">
        <v>1</v>
      </c>
      <c r="N7" t="s">
        <v>591</v>
      </c>
      <c r="O7">
        <v>0.61940092691836224</v>
      </c>
    </row>
    <row r="8" spans="1:21">
      <c r="A8">
        <v>1</v>
      </c>
      <c r="B8">
        <v>1</v>
      </c>
      <c r="C8">
        <v>70</v>
      </c>
      <c r="D8">
        <v>33.5</v>
      </c>
      <c r="E8">
        <v>4.5</v>
      </c>
      <c r="F8">
        <v>5.7</v>
      </c>
      <c r="G8">
        <v>27.9</v>
      </c>
      <c r="H8">
        <v>46394100</v>
      </c>
      <c r="I8">
        <v>1</v>
      </c>
      <c r="N8" t="s">
        <v>593</v>
      </c>
      <c r="O8">
        <v>0.61393451294232437</v>
      </c>
    </row>
    <row r="9" spans="1:21">
      <c r="A9">
        <v>0</v>
      </c>
      <c r="B9">
        <v>0</v>
      </c>
      <c r="C9">
        <v>65</v>
      </c>
      <c r="D9">
        <v>34.799999999999997</v>
      </c>
      <c r="E9">
        <v>12.9</v>
      </c>
      <c r="F9">
        <v>10.7</v>
      </c>
      <c r="G9">
        <v>27.7</v>
      </c>
      <c r="H9">
        <v>55224526</v>
      </c>
      <c r="I9">
        <v>0</v>
      </c>
      <c r="N9" t="s">
        <v>595</v>
      </c>
      <c r="O9">
        <v>7965326.7635500012</v>
      </c>
    </row>
    <row r="10" spans="1:21">
      <c r="A10">
        <v>1</v>
      </c>
      <c r="B10">
        <v>0</v>
      </c>
      <c r="C10">
        <v>36</v>
      </c>
      <c r="D10">
        <v>28.9</v>
      </c>
      <c r="E10">
        <v>9.8000000000000007</v>
      </c>
      <c r="F10">
        <v>5.4</v>
      </c>
      <c r="G10">
        <v>27.6</v>
      </c>
      <c r="H10">
        <v>54126450</v>
      </c>
      <c r="I10">
        <v>0</v>
      </c>
      <c r="N10" s="4" t="s">
        <v>597</v>
      </c>
      <c r="O10" s="4">
        <v>566</v>
      </c>
    </row>
    <row r="11" spans="1:21">
      <c r="A11">
        <v>1</v>
      </c>
      <c r="B11">
        <v>0</v>
      </c>
      <c r="C11">
        <v>38</v>
      </c>
      <c r="D11">
        <v>31.6</v>
      </c>
      <c r="E11">
        <v>7.7</v>
      </c>
      <c r="F11">
        <v>3.9</v>
      </c>
      <c r="G11">
        <v>26.9</v>
      </c>
      <c r="H11">
        <v>55224526</v>
      </c>
      <c r="I11">
        <v>0</v>
      </c>
    </row>
    <row r="12" spans="1:21">
      <c r="A12">
        <v>0</v>
      </c>
      <c r="B12">
        <v>0</v>
      </c>
      <c r="C12">
        <v>42</v>
      </c>
      <c r="D12">
        <v>34.4</v>
      </c>
      <c r="E12">
        <v>6.9</v>
      </c>
      <c r="F12">
        <v>2.1</v>
      </c>
      <c r="G12">
        <v>26.7</v>
      </c>
      <c r="H12">
        <v>46394100</v>
      </c>
      <c r="I12">
        <v>0</v>
      </c>
      <c r="N12" t="s">
        <v>598</v>
      </c>
    </row>
    <row r="13" spans="1:21">
      <c r="A13">
        <v>0</v>
      </c>
      <c r="B13">
        <v>1</v>
      </c>
      <c r="C13">
        <v>43</v>
      </c>
      <c r="D13">
        <v>30.9</v>
      </c>
      <c r="E13">
        <v>3.6</v>
      </c>
      <c r="F13">
        <v>4.7</v>
      </c>
      <c r="G13">
        <v>26.6</v>
      </c>
      <c r="H13">
        <v>59606817</v>
      </c>
      <c r="I13">
        <v>1</v>
      </c>
      <c r="N13" s="5"/>
      <c r="O13" s="5" t="s">
        <v>599</v>
      </c>
      <c r="P13" s="5" t="s">
        <v>600</v>
      </c>
      <c r="Q13" s="5" t="s">
        <v>601</v>
      </c>
      <c r="R13" s="5" t="s">
        <v>602</v>
      </c>
      <c r="S13" s="5" t="s">
        <v>603</v>
      </c>
    </row>
    <row r="14" spans="1:21">
      <c r="A14">
        <v>0</v>
      </c>
      <c r="B14">
        <v>1</v>
      </c>
      <c r="C14">
        <v>64</v>
      </c>
      <c r="D14">
        <v>33.5</v>
      </c>
      <c r="E14">
        <v>3.9</v>
      </c>
      <c r="F14">
        <v>6</v>
      </c>
      <c r="G14">
        <v>26.1</v>
      </c>
      <c r="H14">
        <v>53142264</v>
      </c>
      <c r="I14">
        <v>1</v>
      </c>
      <c r="N14" t="s">
        <v>604</v>
      </c>
      <c r="O14">
        <v>8</v>
      </c>
      <c r="P14">
        <v>5.7513065059084416E+16</v>
      </c>
      <c r="Q14">
        <v>7189133132385552</v>
      </c>
      <c r="R14">
        <v>113.31028524980293</v>
      </c>
      <c r="S14">
        <v>1.2725842409614494E-111</v>
      </c>
    </row>
    <row r="15" spans="1:21">
      <c r="A15">
        <v>1</v>
      </c>
      <c r="B15">
        <v>1</v>
      </c>
      <c r="C15">
        <v>74</v>
      </c>
      <c r="D15">
        <v>35</v>
      </c>
      <c r="E15">
        <v>3.3</v>
      </c>
      <c r="F15">
        <v>6.8</v>
      </c>
      <c r="G15">
        <v>26</v>
      </c>
      <c r="H15">
        <v>34944001</v>
      </c>
      <c r="I15">
        <v>1</v>
      </c>
      <c r="N15" t="s">
        <v>605</v>
      </c>
      <c r="O15">
        <v>557</v>
      </c>
      <c r="P15">
        <v>3.5339661760720144E+16</v>
      </c>
      <c r="Q15">
        <v>63446430450125.93</v>
      </c>
    </row>
    <row r="16" spans="1:21">
      <c r="A16">
        <v>0</v>
      </c>
      <c r="B16">
        <v>0</v>
      </c>
      <c r="C16">
        <v>78</v>
      </c>
      <c r="D16">
        <v>36.4</v>
      </c>
      <c r="E16">
        <v>5.5</v>
      </c>
      <c r="F16">
        <v>4.8</v>
      </c>
      <c r="G16">
        <v>26</v>
      </c>
      <c r="H16">
        <v>53282608</v>
      </c>
      <c r="I16">
        <v>1</v>
      </c>
      <c r="N16" s="4" t="s">
        <v>606</v>
      </c>
      <c r="O16" s="4">
        <v>565</v>
      </c>
      <c r="P16" s="4">
        <v>9.285272681980456E+16</v>
      </c>
      <c r="Q16" s="4"/>
      <c r="R16" s="4"/>
      <c r="S16" s="4"/>
    </row>
    <row r="17" spans="1:22">
      <c r="A17">
        <v>0</v>
      </c>
      <c r="B17">
        <v>1</v>
      </c>
      <c r="C17">
        <v>75</v>
      </c>
      <c r="D17">
        <v>35.4</v>
      </c>
      <c r="E17">
        <v>4.4000000000000004</v>
      </c>
      <c r="F17">
        <v>7.1</v>
      </c>
      <c r="G17">
        <v>25.4</v>
      </c>
      <c r="H17">
        <v>46394100</v>
      </c>
      <c r="I17">
        <v>0</v>
      </c>
    </row>
    <row r="18" spans="1:22">
      <c r="A18">
        <v>0</v>
      </c>
      <c r="B18">
        <v>0</v>
      </c>
      <c r="C18">
        <v>64</v>
      </c>
      <c r="D18">
        <v>29.2</v>
      </c>
      <c r="E18">
        <v>11.5</v>
      </c>
      <c r="F18">
        <v>3.1</v>
      </c>
      <c r="G18">
        <v>25</v>
      </c>
      <c r="H18">
        <v>13376880</v>
      </c>
      <c r="I18">
        <v>0</v>
      </c>
      <c r="N18" s="5"/>
      <c r="O18" s="5" t="s">
        <v>607</v>
      </c>
      <c r="P18" s="5" t="s">
        <v>595</v>
      </c>
      <c r="Q18" s="5" t="s">
        <v>608</v>
      </c>
      <c r="R18" s="5" t="s">
        <v>609</v>
      </c>
      <c r="S18" s="5" t="s">
        <v>610</v>
      </c>
      <c r="T18" s="5" t="s">
        <v>611</v>
      </c>
      <c r="U18" s="5" t="s">
        <v>612</v>
      </c>
      <c r="V18" s="5" t="s">
        <v>613</v>
      </c>
    </row>
    <row r="19" spans="1:22">
      <c r="A19">
        <v>0</v>
      </c>
      <c r="B19">
        <v>0</v>
      </c>
      <c r="C19">
        <v>66</v>
      </c>
      <c r="D19">
        <v>33.299999999999997</v>
      </c>
      <c r="E19">
        <v>6.9</v>
      </c>
      <c r="F19">
        <v>6.7</v>
      </c>
      <c r="G19">
        <v>24.2</v>
      </c>
      <c r="H19">
        <v>14375000</v>
      </c>
      <c r="I19">
        <v>0</v>
      </c>
      <c r="N19" t="s">
        <v>614</v>
      </c>
      <c r="O19">
        <v>-783592.87083234463</v>
      </c>
      <c r="P19">
        <v>1186313.688128297</v>
      </c>
      <c r="Q19">
        <v>-0.66052754737126573</v>
      </c>
      <c r="R19" s="8">
        <v>0.50918841876365883</v>
      </c>
      <c r="S19">
        <v>-3113788.3115434567</v>
      </c>
      <c r="T19">
        <v>1546602.5698787677</v>
      </c>
      <c r="U19">
        <v>-3113788.3115434567</v>
      </c>
      <c r="V19">
        <v>1546602.5698787677</v>
      </c>
    </row>
    <row r="20" spans="1:22">
      <c r="A20">
        <v>1</v>
      </c>
      <c r="B20">
        <v>0</v>
      </c>
      <c r="C20">
        <v>52</v>
      </c>
      <c r="D20">
        <v>32.5</v>
      </c>
      <c r="E20">
        <v>7.1</v>
      </c>
      <c r="F20">
        <v>3</v>
      </c>
      <c r="G20">
        <v>24.2</v>
      </c>
      <c r="H20">
        <v>38333050</v>
      </c>
      <c r="I20">
        <v>1</v>
      </c>
      <c r="N20" t="s">
        <v>2</v>
      </c>
      <c r="O20">
        <v>575362.20518623514</v>
      </c>
      <c r="P20">
        <v>674926.29309813608</v>
      </c>
      <c r="Q20">
        <v>0.85248153919908987</v>
      </c>
      <c r="R20" s="8">
        <v>0.39431327956895279</v>
      </c>
      <c r="S20">
        <v>-750349.69271377765</v>
      </c>
      <c r="T20">
        <v>1901074.103086248</v>
      </c>
      <c r="U20">
        <v>-750349.69271377765</v>
      </c>
      <c r="V20">
        <v>1901074.103086248</v>
      </c>
    </row>
    <row r="21" spans="1:22">
      <c r="A21">
        <v>1</v>
      </c>
      <c r="B21">
        <v>0</v>
      </c>
      <c r="C21">
        <v>62</v>
      </c>
      <c r="D21">
        <v>33.200000000000003</v>
      </c>
      <c r="E21">
        <v>6.6</v>
      </c>
      <c r="F21">
        <v>3.8</v>
      </c>
      <c r="G21">
        <v>24</v>
      </c>
      <c r="H21">
        <v>45550512</v>
      </c>
      <c r="I21">
        <v>0</v>
      </c>
      <c r="N21" t="s">
        <v>4</v>
      </c>
      <c r="O21">
        <v>-2956024.6566780452</v>
      </c>
      <c r="P21">
        <v>872467.96959205554</v>
      </c>
      <c r="Q21">
        <v>-3.3881182572928257</v>
      </c>
      <c r="R21">
        <v>7.5347383660276422E-4</v>
      </c>
      <c r="S21">
        <v>-4669754.2589365188</v>
      </c>
      <c r="T21">
        <v>-1242295.0544195718</v>
      </c>
      <c r="U21">
        <v>-4669754.2589365188</v>
      </c>
      <c r="V21">
        <v>-1242295.0544195718</v>
      </c>
    </row>
    <row r="22" spans="1:22">
      <c r="A22">
        <v>1</v>
      </c>
      <c r="B22">
        <v>1</v>
      </c>
      <c r="C22">
        <v>64</v>
      </c>
      <c r="D22">
        <v>33.9</v>
      </c>
      <c r="E22">
        <v>5.5</v>
      </c>
      <c r="F22">
        <v>9.9</v>
      </c>
      <c r="G22">
        <v>23.9</v>
      </c>
      <c r="H22">
        <v>46394100</v>
      </c>
      <c r="I22">
        <v>1</v>
      </c>
      <c r="N22" t="s">
        <v>7</v>
      </c>
      <c r="O22">
        <v>2628.1386980029051</v>
      </c>
      <c r="P22">
        <v>16014.847378023278</v>
      </c>
      <c r="Q22">
        <v>0.16410638427996668</v>
      </c>
      <c r="R22" s="8">
        <v>0.86970692714424769</v>
      </c>
      <c r="S22">
        <v>-28828.738785078389</v>
      </c>
      <c r="T22">
        <v>34085.016181084196</v>
      </c>
      <c r="U22">
        <v>-28828.738785078389</v>
      </c>
      <c r="V22">
        <v>34085.016181084196</v>
      </c>
    </row>
    <row r="23" spans="1:22">
      <c r="A23">
        <v>1</v>
      </c>
      <c r="B23">
        <v>1</v>
      </c>
      <c r="C23">
        <v>70</v>
      </c>
      <c r="D23">
        <v>34.799999999999997</v>
      </c>
      <c r="E23">
        <v>4.8</v>
      </c>
      <c r="F23">
        <v>8</v>
      </c>
      <c r="G23">
        <v>23.6</v>
      </c>
      <c r="H23">
        <v>39182693</v>
      </c>
      <c r="I23">
        <v>1</v>
      </c>
      <c r="N23" t="s">
        <v>8</v>
      </c>
      <c r="O23">
        <v>-467759.15823903831</v>
      </c>
      <c r="P23">
        <v>93208.480966581163</v>
      </c>
      <c r="Q23">
        <v>-5.0184184248936319</v>
      </c>
      <c r="R23">
        <v>7.0195662975478928E-7</v>
      </c>
      <c r="S23">
        <v>-650842.2496316809</v>
      </c>
      <c r="T23">
        <v>-284676.06684639573</v>
      </c>
      <c r="U23">
        <v>-650842.2496316809</v>
      </c>
      <c r="V23">
        <v>-284676.06684639573</v>
      </c>
    </row>
    <row r="24" spans="1:22">
      <c r="A24">
        <v>0</v>
      </c>
      <c r="B24">
        <v>1</v>
      </c>
      <c r="C24">
        <v>54</v>
      </c>
      <c r="D24">
        <v>33.1</v>
      </c>
      <c r="E24">
        <v>3.7</v>
      </c>
      <c r="F24">
        <v>6.1</v>
      </c>
      <c r="G24">
        <v>23.6</v>
      </c>
      <c r="H24">
        <v>4278960</v>
      </c>
      <c r="I24">
        <v>1</v>
      </c>
      <c r="N24" t="s">
        <v>9</v>
      </c>
      <c r="O24">
        <v>264218.78154625627</v>
      </c>
      <c r="P24">
        <v>233219.55724623121</v>
      </c>
      <c r="Q24">
        <v>1.1329186311219017</v>
      </c>
      <c r="R24" s="8">
        <v>0.25773585054802278</v>
      </c>
      <c r="S24">
        <v>-193878.56186150154</v>
      </c>
      <c r="T24">
        <v>722316.12495401409</v>
      </c>
      <c r="U24">
        <v>-193878.56186150154</v>
      </c>
      <c r="V24">
        <v>722316.12495401409</v>
      </c>
    </row>
    <row r="25" spans="1:22">
      <c r="A25">
        <v>0</v>
      </c>
      <c r="B25">
        <v>1</v>
      </c>
      <c r="C25">
        <v>51</v>
      </c>
      <c r="D25">
        <v>34.5</v>
      </c>
      <c r="E25">
        <v>4.7</v>
      </c>
      <c r="F25">
        <v>5.5</v>
      </c>
      <c r="G25">
        <v>23.3</v>
      </c>
      <c r="H25">
        <v>13937574</v>
      </c>
      <c r="I25">
        <v>1</v>
      </c>
      <c r="N25" t="s">
        <v>10</v>
      </c>
      <c r="O25">
        <v>1250577.422062909</v>
      </c>
      <c r="P25">
        <v>304848.16576837609</v>
      </c>
      <c r="Q25">
        <v>4.1022960361621426</v>
      </c>
      <c r="R25">
        <v>4.7016282119527757E-5</v>
      </c>
      <c r="S25">
        <v>651784.86568317341</v>
      </c>
      <c r="T25">
        <v>1849369.9784426447</v>
      </c>
      <c r="U25">
        <v>651784.86568317341</v>
      </c>
      <c r="V25">
        <v>1849369.9784426447</v>
      </c>
    </row>
    <row r="26" spans="1:22">
      <c r="A26">
        <v>1</v>
      </c>
      <c r="B26">
        <v>0</v>
      </c>
      <c r="C26">
        <v>72</v>
      </c>
      <c r="D26">
        <v>35.200000000000003</v>
      </c>
      <c r="E26">
        <v>10.3</v>
      </c>
      <c r="F26">
        <v>7.9</v>
      </c>
      <c r="G26">
        <v>22.5</v>
      </c>
      <c r="H26">
        <v>30000000</v>
      </c>
      <c r="I26">
        <v>1</v>
      </c>
      <c r="N26" t="s">
        <v>11</v>
      </c>
      <c r="O26">
        <v>1782639.1412727106</v>
      </c>
      <c r="P26">
        <v>115020.14744003248</v>
      </c>
      <c r="Q26">
        <v>15.498494663312067</v>
      </c>
      <c r="R26">
        <v>2.6375735063071518E-45</v>
      </c>
      <c r="S26">
        <v>1556712.8741843232</v>
      </c>
      <c r="T26">
        <v>2008565.408361098</v>
      </c>
      <c r="U26">
        <v>1556712.8741843232</v>
      </c>
      <c r="V26">
        <v>2008565.408361098</v>
      </c>
    </row>
    <row r="27" spans="1:22">
      <c r="A27">
        <v>1</v>
      </c>
      <c r="B27">
        <v>0</v>
      </c>
      <c r="C27">
        <v>72</v>
      </c>
      <c r="D27">
        <v>34.799999999999997</v>
      </c>
      <c r="E27">
        <v>8.4</v>
      </c>
      <c r="F27">
        <v>5.2</v>
      </c>
      <c r="G27">
        <v>22.2</v>
      </c>
      <c r="H27">
        <v>15334769</v>
      </c>
      <c r="I27">
        <v>1</v>
      </c>
      <c r="N27" s="4" t="s">
        <v>13</v>
      </c>
      <c r="O27" s="4">
        <v>110438.37911558957</v>
      </c>
      <c r="P27" s="4">
        <v>811339.26848766953</v>
      </c>
      <c r="Q27" s="4">
        <v>0.13611861696457256</v>
      </c>
      <c r="R27" s="10">
        <v>0.89177669082443045</v>
      </c>
      <c r="S27" s="4">
        <v>-1483220.2654902162</v>
      </c>
      <c r="T27" s="4">
        <v>1704097.0237213955</v>
      </c>
      <c r="U27" s="4">
        <v>-1483220.2654902162</v>
      </c>
      <c r="V27" s="4">
        <v>1704097.0237213955</v>
      </c>
    </row>
    <row r="28" spans="1:22">
      <c r="A28">
        <v>1</v>
      </c>
      <c r="B28">
        <v>0</v>
      </c>
      <c r="C28">
        <v>16</v>
      </c>
      <c r="D28">
        <v>32.6</v>
      </c>
      <c r="E28">
        <v>10</v>
      </c>
      <c r="F28">
        <v>5.3</v>
      </c>
      <c r="G28">
        <v>21.8</v>
      </c>
      <c r="H28">
        <v>54126450</v>
      </c>
      <c r="I28">
        <v>1</v>
      </c>
    </row>
    <row r="29" spans="1:22">
      <c r="A29">
        <v>1</v>
      </c>
      <c r="B29">
        <v>1</v>
      </c>
      <c r="C29">
        <v>58</v>
      </c>
      <c r="D29">
        <v>29.6</v>
      </c>
      <c r="E29">
        <v>3.5</v>
      </c>
      <c r="F29">
        <v>2.5</v>
      </c>
      <c r="G29">
        <v>21.7</v>
      </c>
      <c r="H29">
        <v>20482758</v>
      </c>
      <c r="I29">
        <v>1</v>
      </c>
      <c r="N29" s="11" t="s">
        <v>624</v>
      </c>
      <c r="O29" s="11"/>
      <c r="Q29" s="12" t="s">
        <v>625</v>
      </c>
      <c r="R29" s="12"/>
    </row>
    <row r="30" spans="1:22">
      <c r="A30">
        <v>1</v>
      </c>
      <c r="B30">
        <v>0</v>
      </c>
      <c r="C30">
        <v>77</v>
      </c>
      <c r="D30">
        <v>33.799999999999997</v>
      </c>
      <c r="E30">
        <v>5.6</v>
      </c>
      <c r="F30">
        <v>3.7</v>
      </c>
      <c r="G30">
        <v>21.5</v>
      </c>
      <c r="H30">
        <v>38095238</v>
      </c>
      <c r="I30">
        <v>1</v>
      </c>
      <c r="N30" s="11" t="s">
        <v>626</v>
      </c>
      <c r="O30" s="11"/>
      <c r="Q30" s="12" t="s">
        <v>617</v>
      </c>
      <c r="R30" s="12"/>
    </row>
    <row r="31" spans="1:22">
      <c r="A31">
        <v>0</v>
      </c>
      <c r="B31">
        <v>0</v>
      </c>
      <c r="C31">
        <v>66</v>
      </c>
      <c r="D31">
        <v>35.5</v>
      </c>
      <c r="E31">
        <v>5.7</v>
      </c>
      <c r="F31">
        <v>3.8</v>
      </c>
      <c r="G31">
        <v>21.5</v>
      </c>
      <c r="H31">
        <v>25000000</v>
      </c>
      <c r="I31">
        <v>1</v>
      </c>
      <c r="N31" s="11" t="s">
        <v>8</v>
      </c>
      <c r="O31" s="11"/>
      <c r="Q31" s="12" t="s">
        <v>7</v>
      </c>
      <c r="R31" s="12"/>
    </row>
    <row r="32" spans="1:22">
      <c r="A32">
        <v>0</v>
      </c>
      <c r="B32">
        <v>0</v>
      </c>
      <c r="C32">
        <v>79</v>
      </c>
      <c r="D32">
        <v>33</v>
      </c>
      <c r="E32">
        <v>6.7</v>
      </c>
      <c r="F32">
        <v>5</v>
      </c>
      <c r="G32">
        <v>21.1</v>
      </c>
      <c r="H32">
        <v>30864198</v>
      </c>
      <c r="I32">
        <v>1</v>
      </c>
      <c r="N32" s="11" t="s">
        <v>10</v>
      </c>
      <c r="O32" s="11"/>
      <c r="Q32" s="12" t="s">
        <v>9</v>
      </c>
      <c r="R32" s="12"/>
    </row>
    <row r="33" spans="1:18">
      <c r="A33">
        <v>0</v>
      </c>
      <c r="B33">
        <v>0</v>
      </c>
      <c r="C33">
        <v>70</v>
      </c>
      <c r="D33">
        <v>33.5</v>
      </c>
      <c r="E33">
        <v>6.7</v>
      </c>
      <c r="F33">
        <v>4.5</v>
      </c>
      <c r="G33">
        <v>21</v>
      </c>
      <c r="H33">
        <v>13825920</v>
      </c>
      <c r="I33">
        <v>1</v>
      </c>
      <c r="N33" s="11" t="s">
        <v>11</v>
      </c>
      <c r="O33" s="11"/>
      <c r="Q33" s="12" t="s">
        <v>13</v>
      </c>
      <c r="R33" s="12"/>
    </row>
    <row r="34" spans="1:18">
      <c r="A34">
        <v>0</v>
      </c>
      <c r="B34">
        <v>0</v>
      </c>
      <c r="C34">
        <v>62</v>
      </c>
      <c r="D34">
        <v>29.7</v>
      </c>
      <c r="E34">
        <v>5.7</v>
      </c>
      <c r="F34">
        <v>3.2</v>
      </c>
      <c r="G34">
        <v>21</v>
      </c>
      <c r="H34">
        <v>39446090</v>
      </c>
      <c r="I34">
        <v>1</v>
      </c>
    </row>
    <row r="35" spans="1:18">
      <c r="A35">
        <v>0</v>
      </c>
      <c r="B35">
        <v>0</v>
      </c>
      <c r="C35">
        <v>60</v>
      </c>
      <c r="D35">
        <v>33.200000000000003</v>
      </c>
      <c r="E35">
        <v>6.1</v>
      </c>
      <c r="F35">
        <v>7.2</v>
      </c>
      <c r="G35">
        <v>20.9</v>
      </c>
      <c r="H35">
        <v>52627153</v>
      </c>
      <c r="I35">
        <v>1</v>
      </c>
    </row>
    <row r="36" spans="1:18">
      <c r="A36">
        <v>1</v>
      </c>
      <c r="B36">
        <v>1</v>
      </c>
      <c r="C36">
        <v>78</v>
      </c>
      <c r="D36">
        <v>33.4</v>
      </c>
      <c r="E36">
        <v>3.4</v>
      </c>
      <c r="F36">
        <v>3.7</v>
      </c>
      <c r="G36">
        <v>20.8</v>
      </c>
      <c r="H36">
        <v>15161800</v>
      </c>
      <c r="I36">
        <v>0</v>
      </c>
    </row>
    <row r="37" spans="1:18">
      <c r="A37">
        <v>0</v>
      </c>
      <c r="B37">
        <v>1</v>
      </c>
      <c r="C37">
        <v>50</v>
      </c>
      <c r="D37">
        <v>29.4</v>
      </c>
      <c r="E37">
        <v>4.3</v>
      </c>
      <c r="F37">
        <v>2.6</v>
      </c>
      <c r="G37">
        <v>20.8</v>
      </c>
      <c r="H37">
        <v>8399983</v>
      </c>
      <c r="I37">
        <v>0</v>
      </c>
    </row>
    <row r="38" spans="1:18">
      <c r="A38">
        <v>1</v>
      </c>
      <c r="B38">
        <v>0</v>
      </c>
      <c r="C38">
        <v>34</v>
      </c>
      <c r="D38">
        <v>30</v>
      </c>
      <c r="E38">
        <v>5.2</v>
      </c>
      <c r="F38">
        <v>3.3</v>
      </c>
      <c r="G38">
        <v>20.6</v>
      </c>
      <c r="H38">
        <v>38661750</v>
      </c>
      <c r="I38">
        <v>0</v>
      </c>
    </row>
    <row r="39" spans="1:18">
      <c r="A39">
        <v>1</v>
      </c>
      <c r="B39">
        <v>1</v>
      </c>
      <c r="C39">
        <v>33</v>
      </c>
      <c r="D39">
        <v>31.3</v>
      </c>
      <c r="E39">
        <v>4.8</v>
      </c>
      <c r="F39">
        <v>4.0999999999999996</v>
      </c>
      <c r="G39">
        <v>20.5</v>
      </c>
      <c r="H39">
        <v>31000000</v>
      </c>
      <c r="I39">
        <v>1</v>
      </c>
    </row>
    <row r="40" spans="1:18">
      <c r="A40">
        <v>1</v>
      </c>
      <c r="B40">
        <v>0</v>
      </c>
      <c r="C40">
        <v>20</v>
      </c>
      <c r="D40">
        <v>31.3</v>
      </c>
      <c r="E40">
        <v>11.1</v>
      </c>
      <c r="F40">
        <v>2.8</v>
      </c>
      <c r="G40">
        <v>20.399999999999999</v>
      </c>
      <c r="H40">
        <v>54126450</v>
      </c>
      <c r="I40">
        <v>1</v>
      </c>
    </row>
    <row r="41" spans="1:18">
      <c r="A41">
        <v>0</v>
      </c>
      <c r="B41">
        <v>0</v>
      </c>
      <c r="C41">
        <v>72</v>
      </c>
      <c r="D41">
        <v>33.299999999999997</v>
      </c>
      <c r="E41">
        <v>8.9</v>
      </c>
      <c r="F41">
        <v>6.2</v>
      </c>
      <c r="G41">
        <v>20.399999999999999</v>
      </c>
      <c r="H41">
        <v>33944954</v>
      </c>
      <c r="I41">
        <v>0</v>
      </c>
    </row>
    <row r="42" spans="1:18">
      <c r="A42">
        <v>0</v>
      </c>
      <c r="B42">
        <v>0</v>
      </c>
      <c r="C42">
        <v>56</v>
      </c>
      <c r="D42">
        <v>30.4</v>
      </c>
      <c r="E42">
        <v>3.6</v>
      </c>
      <c r="F42">
        <v>1.8</v>
      </c>
      <c r="G42">
        <v>20.2</v>
      </c>
      <c r="H42">
        <v>21124110</v>
      </c>
      <c r="I42">
        <v>0</v>
      </c>
    </row>
    <row r="43" spans="1:18">
      <c r="A43">
        <v>1</v>
      </c>
      <c r="B43">
        <v>0</v>
      </c>
      <c r="C43">
        <v>65</v>
      </c>
      <c r="D43">
        <v>30.3</v>
      </c>
      <c r="E43">
        <v>4.9000000000000004</v>
      </c>
      <c r="F43">
        <v>3.3</v>
      </c>
      <c r="G43">
        <v>20.2</v>
      </c>
      <c r="H43">
        <v>11968800</v>
      </c>
      <c r="I43">
        <v>1</v>
      </c>
    </row>
    <row r="44" spans="1:18">
      <c r="A44">
        <v>1</v>
      </c>
      <c r="B44">
        <v>0</v>
      </c>
      <c r="C44">
        <v>73</v>
      </c>
      <c r="D44">
        <v>32.4</v>
      </c>
      <c r="E44">
        <v>10</v>
      </c>
      <c r="F44">
        <v>3.2</v>
      </c>
      <c r="G44">
        <v>20.100000000000001</v>
      </c>
      <c r="H44">
        <v>37096620</v>
      </c>
      <c r="I44">
        <v>1</v>
      </c>
    </row>
    <row r="45" spans="1:18">
      <c r="A45">
        <v>1</v>
      </c>
      <c r="B45">
        <v>1</v>
      </c>
      <c r="C45">
        <v>72</v>
      </c>
      <c r="D45">
        <v>28</v>
      </c>
      <c r="E45">
        <v>4.8</v>
      </c>
      <c r="F45">
        <v>7.1</v>
      </c>
      <c r="G45">
        <v>20.100000000000001</v>
      </c>
      <c r="H45">
        <v>37958760</v>
      </c>
      <c r="I45">
        <v>1</v>
      </c>
    </row>
    <row r="46" spans="1:18">
      <c r="A46">
        <v>1</v>
      </c>
      <c r="B46">
        <v>1</v>
      </c>
      <c r="C46">
        <v>82</v>
      </c>
      <c r="D46">
        <v>33.6</v>
      </c>
      <c r="E46">
        <v>4.0999999999999996</v>
      </c>
      <c r="F46">
        <v>4.0999999999999996</v>
      </c>
      <c r="G46">
        <v>20.100000000000001</v>
      </c>
      <c r="H46">
        <v>36725670</v>
      </c>
      <c r="I46">
        <v>1</v>
      </c>
    </row>
    <row r="47" spans="1:18">
      <c r="A47">
        <v>1</v>
      </c>
      <c r="B47">
        <v>0</v>
      </c>
      <c r="C47">
        <v>75</v>
      </c>
      <c r="D47">
        <v>31</v>
      </c>
      <c r="E47">
        <v>11.9</v>
      </c>
      <c r="F47">
        <v>3</v>
      </c>
      <c r="G47">
        <v>20.100000000000001</v>
      </c>
      <c r="H47">
        <v>53142264</v>
      </c>
      <c r="I47">
        <v>1</v>
      </c>
    </row>
    <row r="48" spans="1:18">
      <c r="A48">
        <v>0</v>
      </c>
      <c r="B48">
        <v>0</v>
      </c>
      <c r="C48">
        <v>38</v>
      </c>
      <c r="D48">
        <v>31.1</v>
      </c>
      <c r="E48">
        <v>5.6</v>
      </c>
      <c r="F48">
        <v>4.9000000000000004</v>
      </c>
      <c r="G48">
        <v>20</v>
      </c>
      <c r="H48">
        <v>54126450</v>
      </c>
      <c r="I48">
        <v>1</v>
      </c>
    </row>
    <row r="49" spans="1:9">
      <c r="A49">
        <v>0</v>
      </c>
      <c r="B49">
        <v>1</v>
      </c>
      <c r="C49">
        <v>15</v>
      </c>
      <c r="D49">
        <v>22.6</v>
      </c>
      <c r="E49">
        <v>2.8</v>
      </c>
      <c r="F49">
        <v>5.7</v>
      </c>
      <c r="G49">
        <v>19.7</v>
      </c>
      <c r="H49">
        <v>8781000</v>
      </c>
      <c r="I49">
        <v>1</v>
      </c>
    </row>
    <row r="50" spans="1:9">
      <c r="A50">
        <v>1</v>
      </c>
      <c r="B50">
        <v>0</v>
      </c>
      <c r="C50">
        <v>70</v>
      </c>
      <c r="D50">
        <v>28.2</v>
      </c>
      <c r="E50">
        <v>10.5</v>
      </c>
      <c r="F50">
        <v>2</v>
      </c>
      <c r="G50">
        <v>19.5</v>
      </c>
      <c r="H50">
        <v>6483144</v>
      </c>
      <c r="I50">
        <v>1</v>
      </c>
    </row>
    <row r="51" spans="1:9">
      <c r="A51">
        <v>0</v>
      </c>
      <c r="B51">
        <v>1</v>
      </c>
      <c r="C51">
        <v>20</v>
      </c>
      <c r="D51">
        <v>28.5</v>
      </c>
      <c r="E51">
        <v>3.3</v>
      </c>
      <c r="F51">
        <v>8.1</v>
      </c>
      <c r="G51">
        <v>19.5</v>
      </c>
      <c r="H51">
        <v>39446090</v>
      </c>
      <c r="I51">
        <v>1</v>
      </c>
    </row>
    <row r="52" spans="1:9">
      <c r="A52">
        <v>0</v>
      </c>
      <c r="B52">
        <v>0</v>
      </c>
      <c r="C52">
        <v>48</v>
      </c>
      <c r="D52">
        <v>30.3</v>
      </c>
      <c r="E52">
        <v>5.7</v>
      </c>
      <c r="F52">
        <v>2</v>
      </c>
      <c r="G52">
        <v>19.399999999999999</v>
      </c>
      <c r="H52">
        <v>35000000</v>
      </c>
      <c r="I52">
        <v>1</v>
      </c>
    </row>
    <row r="53" spans="1:9">
      <c r="A53">
        <v>1</v>
      </c>
      <c r="B53">
        <v>0</v>
      </c>
      <c r="C53">
        <v>57</v>
      </c>
      <c r="D53">
        <v>30.3</v>
      </c>
      <c r="E53">
        <v>5.3</v>
      </c>
      <c r="F53">
        <v>3.3</v>
      </c>
      <c r="G53">
        <v>19.3</v>
      </c>
      <c r="H53">
        <v>27705357</v>
      </c>
      <c r="I53">
        <v>0</v>
      </c>
    </row>
    <row r="54" spans="1:9">
      <c r="A54">
        <v>0</v>
      </c>
      <c r="B54">
        <v>1</v>
      </c>
      <c r="C54">
        <v>39</v>
      </c>
      <c r="D54">
        <v>31.4</v>
      </c>
      <c r="E54">
        <v>2.8</v>
      </c>
      <c r="F54">
        <v>2.2999999999999998</v>
      </c>
      <c r="G54">
        <v>19.2</v>
      </c>
      <c r="H54">
        <v>45999660</v>
      </c>
      <c r="I54">
        <v>1</v>
      </c>
    </row>
    <row r="55" spans="1:9">
      <c r="A55">
        <v>0</v>
      </c>
      <c r="B55">
        <v>1</v>
      </c>
      <c r="C55">
        <v>45</v>
      </c>
      <c r="D55">
        <v>29.9</v>
      </c>
      <c r="E55">
        <v>2.4</v>
      </c>
      <c r="F55">
        <v>6.7</v>
      </c>
      <c r="G55">
        <v>18.8</v>
      </c>
      <c r="H55">
        <v>39446090</v>
      </c>
      <c r="I55">
        <v>1</v>
      </c>
    </row>
    <row r="56" spans="1:9">
      <c r="A56">
        <v>1</v>
      </c>
      <c r="B56">
        <v>1</v>
      </c>
      <c r="C56">
        <v>76</v>
      </c>
      <c r="D56">
        <v>29.8</v>
      </c>
      <c r="E56">
        <v>3.3</v>
      </c>
      <c r="F56">
        <v>3.9</v>
      </c>
      <c r="G56">
        <v>18.7</v>
      </c>
      <c r="H56">
        <v>30666666</v>
      </c>
      <c r="I56">
        <v>1</v>
      </c>
    </row>
    <row r="57" spans="1:9">
      <c r="A57">
        <v>0</v>
      </c>
      <c r="B57">
        <v>1</v>
      </c>
      <c r="C57">
        <v>72</v>
      </c>
      <c r="D57">
        <v>31</v>
      </c>
      <c r="E57">
        <v>3.8</v>
      </c>
      <c r="F57">
        <v>6.2</v>
      </c>
      <c r="G57">
        <v>18.600000000000001</v>
      </c>
      <c r="H57">
        <v>37096620</v>
      </c>
      <c r="I57">
        <v>1</v>
      </c>
    </row>
    <row r="58" spans="1:9">
      <c r="A58">
        <v>0</v>
      </c>
      <c r="B58">
        <v>0</v>
      </c>
      <c r="C58">
        <v>57</v>
      </c>
      <c r="D58">
        <v>29.7</v>
      </c>
      <c r="E58">
        <v>3.5</v>
      </c>
      <c r="F58">
        <v>2.1</v>
      </c>
      <c r="G58">
        <v>18.600000000000001</v>
      </c>
      <c r="H58">
        <v>32000001</v>
      </c>
      <c r="I58">
        <v>1</v>
      </c>
    </row>
    <row r="59" spans="1:9">
      <c r="A59">
        <v>1</v>
      </c>
      <c r="B59">
        <v>0</v>
      </c>
      <c r="C59">
        <v>81</v>
      </c>
      <c r="D59">
        <v>31.5</v>
      </c>
      <c r="E59">
        <v>5.3</v>
      </c>
      <c r="F59">
        <v>3.4</v>
      </c>
      <c r="G59">
        <v>18.5</v>
      </c>
      <c r="H59">
        <v>10015680</v>
      </c>
      <c r="I59">
        <v>1</v>
      </c>
    </row>
    <row r="60" spans="1:9">
      <c r="A60">
        <v>0</v>
      </c>
      <c r="B60">
        <v>0</v>
      </c>
      <c r="C60">
        <v>77</v>
      </c>
      <c r="D60">
        <v>31.2</v>
      </c>
      <c r="E60">
        <v>2.9</v>
      </c>
      <c r="F60">
        <v>4.0999999999999996</v>
      </c>
      <c r="G60">
        <v>18.399999999999999</v>
      </c>
      <c r="H60">
        <v>24570000</v>
      </c>
      <c r="I60">
        <v>1</v>
      </c>
    </row>
    <row r="61" spans="1:9">
      <c r="A61">
        <v>0</v>
      </c>
      <c r="B61">
        <v>1</v>
      </c>
      <c r="C61">
        <v>79</v>
      </c>
      <c r="D61">
        <v>37.4</v>
      </c>
      <c r="E61">
        <v>7.8</v>
      </c>
      <c r="F61">
        <v>5.3</v>
      </c>
      <c r="G61">
        <v>18.3</v>
      </c>
      <c r="H61">
        <v>9690600</v>
      </c>
      <c r="I61">
        <v>1</v>
      </c>
    </row>
    <row r="62" spans="1:9">
      <c r="A62">
        <v>1</v>
      </c>
      <c r="B62">
        <v>0</v>
      </c>
      <c r="C62">
        <v>65</v>
      </c>
      <c r="D62">
        <v>31.9</v>
      </c>
      <c r="E62">
        <v>9</v>
      </c>
      <c r="F62">
        <v>3.6</v>
      </c>
      <c r="G62">
        <v>18.2</v>
      </c>
      <c r="H62">
        <v>46394100</v>
      </c>
      <c r="I62">
        <v>1</v>
      </c>
    </row>
    <row r="63" spans="1:9">
      <c r="A63">
        <v>1</v>
      </c>
      <c r="B63">
        <v>0</v>
      </c>
      <c r="C63">
        <v>80</v>
      </c>
      <c r="D63">
        <v>33.5</v>
      </c>
      <c r="E63">
        <v>7.5</v>
      </c>
      <c r="F63">
        <v>5.9</v>
      </c>
      <c r="G63">
        <v>18.100000000000001</v>
      </c>
      <c r="H63">
        <v>38661750</v>
      </c>
      <c r="I63">
        <v>1</v>
      </c>
    </row>
    <row r="64" spans="1:9">
      <c r="A64">
        <v>1</v>
      </c>
      <c r="B64">
        <v>1</v>
      </c>
      <c r="C64">
        <v>15</v>
      </c>
      <c r="D64">
        <v>25.6</v>
      </c>
      <c r="E64">
        <v>2</v>
      </c>
      <c r="F64">
        <v>8</v>
      </c>
      <c r="G64">
        <v>17.899999999999999</v>
      </c>
      <c r="H64">
        <v>45999660</v>
      </c>
      <c r="I64">
        <v>1</v>
      </c>
    </row>
    <row r="65" spans="1:9">
      <c r="A65">
        <v>0</v>
      </c>
      <c r="B65">
        <v>1</v>
      </c>
      <c r="C65">
        <v>32</v>
      </c>
      <c r="D65">
        <v>25.9</v>
      </c>
      <c r="E65">
        <v>3.6</v>
      </c>
      <c r="F65">
        <v>2.8</v>
      </c>
      <c r="G65">
        <v>17.8</v>
      </c>
      <c r="H65">
        <v>33333333</v>
      </c>
      <c r="I65">
        <v>1</v>
      </c>
    </row>
    <row r="66" spans="1:9">
      <c r="A66">
        <v>0</v>
      </c>
      <c r="B66">
        <v>0</v>
      </c>
      <c r="C66">
        <v>72</v>
      </c>
      <c r="D66">
        <v>31.2</v>
      </c>
      <c r="E66">
        <v>5.6</v>
      </c>
      <c r="F66">
        <v>2.5</v>
      </c>
      <c r="G66">
        <v>17.7</v>
      </c>
      <c r="H66">
        <v>6118644</v>
      </c>
      <c r="I66">
        <v>1</v>
      </c>
    </row>
    <row r="67" spans="1:9">
      <c r="A67">
        <v>0</v>
      </c>
      <c r="B67">
        <v>0</v>
      </c>
      <c r="C67">
        <v>54</v>
      </c>
      <c r="D67">
        <v>30</v>
      </c>
      <c r="E67">
        <v>5.4</v>
      </c>
      <c r="F67">
        <v>2.4</v>
      </c>
      <c r="G67">
        <v>17.600000000000001</v>
      </c>
      <c r="H67">
        <v>9187573</v>
      </c>
      <c r="I67">
        <v>0</v>
      </c>
    </row>
    <row r="68" spans="1:9">
      <c r="A68">
        <v>1</v>
      </c>
      <c r="B68">
        <v>1</v>
      </c>
      <c r="C68">
        <v>50</v>
      </c>
      <c r="D68">
        <v>25</v>
      </c>
      <c r="E68">
        <v>3.4</v>
      </c>
      <c r="F68">
        <v>4</v>
      </c>
      <c r="G68">
        <v>17.399999999999999</v>
      </c>
      <c r="H68">
        <v>12888889</v>
      </c>
      <c r="I68">
        <v>1</v>
      </c>
    </row>
    <row r="69" spans="1:9">
      <c r="A69">
        <v>1</v>
      </c>
      <c r="B69">
        <v>1</v>
      </c>
      <c r="C69">
        <v>38</v>
      </c>
      <c r="D69">
        <v>33.200000000000003</v>
      </c>
      <c r="E69">
        <v>5.2</v>
      </c>
      <c r="F69">
        <v>7.4</v>
      </c>
      <c r="G69">
        <v>17.399999999999999</v>
      </c>
      <c r="H69">
        <v>5134000</v>
      </c>
      <c r="I69">
        <v>1</v>
      </c>
    </row>
    <row r="70" spans="1:9">
      <c r="A70">
        <v>1</v>
      </c>
      <c r="B70">
        <v>0</v>
      </c>
      <c r="C70">
        <v>37</v>
      </c>
      <c r="D70">
        <v>30.7</v>
      </c>
      <c r="E70">
        <v>5.3</v>
      </c>
      <c r="F70">
        <v>3.6</v>
      </c>
      <c r="G70">
        <v>17.3</v>
      </c>
      <c r="H70">
        <v>51666090</v>
      </c>
      <c r="I70">
        <v>1</v>
      </c>
    </row>
    <row r="71" spans="1:9">
      <c r="A71">
        <v>1</v>
      </c>
      <c r="B71">
        <v>1</v>
      </c>
      <c r="C71">
        <v>74</v>
      </c>
      <c r="D71">
        <v>32.1</v>
      </c>
      <c r="E71">
        <v>4.5999999999999996</v>
      </c>
      <c r="F71">
        <v>5.6</v>
      </c>
      <c r="G71">
        <v>17.3</v>
      </c>
      <c r="H71">
        <v>4000000</v>
      </c>
      <c r="I71">
        <v>1</v>
      </c>
    </row>
    <row r="72" spans="1:9">
      <c r="A72">
        <v>1</v>
      </c>
      <c r="B72">
        <v>0</v>
      </c>
      <c r="C72">
        <v>77</v>
      </c>
      <c r="D72">
        <v>31</v>
      </c>
      <c r="E72">
        <v>5.8</v>
      </c>
      <c r="F72">
        <v>3.2</v>
      </c>
      <c r="G72">
        <v>17.100000000000001</v>
      </c>
      <c r="H72">
        <v>25000000</v>
      </c>
      <c r="I72">
        <v>1</v>
      </c>
    </row>
    <row r="73" spans="1:9">
      <c r="A73">
        <v>0</v>
      </c>
      <c r="B73">
        <v>0</v>
      </c>
      <c r="C73">
        <v>69</v>
      </c>
      <c r="D73">
        <v>28.9</v>
      </c>
      <c r="E73">
        <v>8.9</v>
      </c>
      <c r="F73">
        <v>1.7</v>
      </c>
      <c r="G73">
        <v>17.100000000000001</v>
      </c>
      <c r="H73">
        <v>13731368</v>
      </c>
      <c r="I73">
        <v>1</v>
      </c>
    </row>
    <row r="74" spans="1:9">
      <c r="A74">
        <v>0</v>
      </c>
      <c r="B74">
        <v>1</v>
      </c>
      <c r="C74">
        <v>33</v>
      </c>
      <c r="D74">
        <v>28.4</v>
      </c>
      <c r="E74">
        <v>4.5999999999999996</v>
      </c>
      <c r="F74">
        <v>5.5</v>
      </c>
      <c r="G74">
        <v>17.100000000000001</v>
      </c>
      <c r="H74">
        <v>6580997</v>
      </c>
      <c r="I74">
        <v>1</v>
      </c>
    </row>
    <row r="75" spans="1:9">
      <c r="A75">
        <v>1</v>
      </c>
      <c r="B75">
        <v>1</v>
      </c>
      <c r="C75">
        <v>54</v>
      </c>
      <c r="D75">
        <v>32.1</v>
      </c>
      <c r="E75">
        <v>8.3000000000000007</v>
      </c>
      <c r="F75">
        <v>9.1</v>
      </c>
      <c r="G75">
        <v>17</v>
      </c>
      <c r="H75">
        <v>25000000</v>
      </c>
      <c r="I75">
        <v>0</v>
      </c>
    </row>
    <row r="76" spans="1:9">
      <c r="A76">
        <v>1</v>
      </c>
      <c r="B76">
        <v>1</v>
      </c>
      <c r="C76">
        <v>79</v>
      </c>
      <c r="D76">
        <v>32.4</v>
      </c>
      <c r="E76">
        <v>3.9</v>
      </c>
      <c r="F76">
        <v>5.2</v>
      </c>
      <c r="G76">
        <v>17</v>
      </c>
      <c r="H76">
        <v>7232143</v>
      </c>
      <c r="I76">
        <v>1</v>
      </c>
    </row>
    <row r="77" spans="1:9">
      <c r="A77">
        <v>1</v>
      </c>
      <c r="B77">
        <v>1</v>
      </c>
      <c r="C77">
        <v>57</v>
      </c>
      <c r="D77">
        <v>31.3</v>
      </c>
      <c r="E77">
        <v>2.8</v>
      </c>
      <c r="F77">
        <v>7.7</v>
      </c>
      <c r="G77">
        <v>16.899999999999999</v>
      </c>
      <c r="H77">
        <v>18102000</v>
      </c>
      <c r="I77">
        <v>0</v>
      </c>
    </row>
    <row r="78" spans="1:9">
      <c r="A78">
        <v>0</v>
      </c>
      <c r="B78">
        <v>0</v>
      </c>
      <c r="C78">
        <v>32</v>
      </c>
      <c r="D78">
        <v>24</v>
      </c>
      <c r="E78">
        <v>5.2</v>
      </c>
      <c r="F78">
        <v>2.5</v>
      </c>
      <c r="G78">
        <v>16.7</v>
      </c>
      <c r="H78">
        <v>30731707</v>
      </c>
      <c r="I78">
        <v>0</v>
      </c>
    </row>
    <row r="79" spans="1:9">
      <c r="A79">
        <v>1</v>
      </c>
      <c r="B79">
        <v>0</v>
      </c>
      <c r="C79">
        <v>67</v>
      </c>
      <c r="D79">
        <v>33.200000000000003</v>
      </c>
      <c r="E79">
        <v>5.2</v>
      </c>
      <c r="F79">
        <v>2.2000000000000002</v>
      </c>
      <c r="G79">
        <v>16.7</v>
      </c>
      <c r="H79">
        <v>39568966</v>
      </c>
      <c r="I79">
        <v>0</v>
      </c>
    </row>
    <row r="80" spans="1:9">
      <c r="A80">
        <v>0</v>
      </c>
      <c r="B80">
        <v>1</v>
      </c>
      <c r="C80">
        <v>68</v>
      </c>
      <c r="D80">
        <v>30</v>
      </c>
      <c r="E80">
        <v>5.3</v>
      </c>
      <c r="F80">
        <v>7.4</v>
      </c>
      <c r="G80">
        <v>16.7</v>
      </c>
      <c r="H80">
        <v>9560520</v>
      </c>
      <c r="I80">
        <v>1</v>
      </c>
    </row>
    <row r="81" spans="1:9">
      <c r="A81">
        <v>0</v>
      </c>
      <c r="B81">
        <v>1</v>
      </c>
      <c r="C81">
        <v>14</v>
      </c>
      <c r="D81">
        <v>27.8</v>
      </c>
      <c r="E81">
        <v>5.4</v>
      </c>
      <c r="F81">
        <v>6.4</v>
      </c>
      <c r="G81">
        <v>16.7</v>
      </c>
      <c r="H81">
        <v>26783568</v>
      </c>
      <c r="I81">
        <v>1</v>
      </c>
    </row>
    <row r="82" spans="1:9">
      <c r="A82">
        <v>0</v>
      </c>
      <c r="B82">
        <v>1</v>
      </c>
      <c r="C82">
        <v>51</v>
      </c>
      <c r="D82">
        <v>28.8</v>
      </c>
      <c r="E82">
        <v>3</v>
      </c>
      <c r="F82">
        <v>3.8</v>
      </c>
      <c r="G82">
        <v>16.5</v>
      </c>
      <c r="H82">
        <v>16875000</v>
      </c>
      <c r="I82">
        <v>1</v>
      </c>
    </row>
    <row r="83" spans="1:9">
      <c r="A83">
        <v>1</v>
      </c>
      <c r="B83">
        <v>1</v>
      </c>
      <c r="C83">
        <v>77</v>
      </c>
      <c r="D83">
        <v>34.1</v>
      </c>
      <c r="E83">
        <v>4.4000000000000004</v>
      </c>
      <c r="F83">
        <v>5.4</v>
      </c>
      <c r="G83">
        <v>16.5</v>
      </c>
      <c r="H83">
        <v>26350000</v>
      </c>
      <c r="I83">
        <v>1</v>
      </c>
    </row>
    <row r="84" spans="1:9">
      <c r="A84">
        <v>1</v>
      </c>
      <c r="B84">
        <v>1</v>
      </c>
      <c r="C84">
        <v>70</v>
      </c>
      <c r="D84">
        <v>31.9</v>
      </c>
      <c r="E84">
        <v>4</v>
      </c>
      <c r="F84">
        <v>5.9</v>
      </c>
      <c r="G84">
        <v>16.399999999999999</v>
      </c>
      <c r="H84">
        <v>32500000</v>
      </c>
      <c r="I84">
        <v>1</v>
      </c>
    </row>
    <row r="85" spans="1:9">
      <c r="A85">
        <v>1</v>
      </c>
      <c r="B85">
        <v>0</v>
      </c>
      <c r="C85">
        <v>77</v>
      </c>
      <c r="D85">
        <v>29.2</v>
      </c>
      <c r="E85">
        <v>5.8</v>
      </c>
      <c r="F85">
        <v>2.1</v>
      </c>
      <c r="G85">
        <v>16.3</v>
      </c>
      <c r="H85">
        <v>5455560</v>
      </c>
      <c r="I85">
        <v>1</v>
      </c>
    </row>
    <row r="86" spans="1:9">
      <c r="A86">
        <v>0</v>
      </c>
      <c r="B86">
        <v>1</v>
      </c>
      <c r="C86">
        <v>53</v>
      </c>
      <c r="D86">
        <v>29.4</v>
      </c>
      <c r="E86">
        <v>4.5999999999999996</v>
      </c>
      <c r="F86">
        <v>6.1</v>
      </c>
      <c r="G86">
        <v>16.3</v>
      </c>
      <c r="H86">
        <v>32400000</v>
      </c>
      <c r="I86">
        <v>1</v>
      </c>
    </row>
    <row r="87" spans="1:9">
      <c r="A87">
        <v>1</v>
      </c>
      <c r="B87">
        <v>0</v>
      </c>
      <c r="C87">
        <v>48</v>
      </c>
      <c r="D87">
        <v>27.2</v>
      </c>
      <c r="E87">
        <v>7.4</v>
      </c>
      <c r="F87">
        <v>2.7</v>
      </c>
      <c r="G87">
        <v>16.3</v>
      </c>
      <c r="H87">
        <v>11808240</v>
      </c>
      <c r="I87">
        <v>0</v>
      </c>
    </row>
    <row r="88" spans="1:9">
      <c r="A88">
        <v>0</v>
      </c>
      <c r="B88">
        <v>0</v>
      </c>
      <c r="C88">
        <v>6</v>
      </c>
      <c r="D88">
        <v>30.5</v>
      </c>
      <c r="E88">
        <v>4</v>
      </c>
      <c r="F88">
        <v>1.5</v>
      </c>
      <c r="G88">
        <v>16.3</v>
      </c>
      <c r="H88">
        <v>3394530</v>
      </c>
      <c r="I88">
        <v>1</v>
      </c>
    </row>
    <row r="89" spans="1:9">
      <c r="A89">
        <v>0</v>
      </c>
      <c r="B89">
        <v>0</v>
      </c>
      <c r="C89">
        <v>36</v>
      </c>
      <c r="D89">
        <v>27.9</v>
      </c>
      <c r="E89">
        <v>5.8</v>
      </c>
      <c r="F89">
        <v>2.7</v>
      </c>
      <c r="G89">
        <v>16.2</v>
      </c>
      <c r="H89">
        <v>22841455</v>
      </c>
      <c r="I89">
        <v>1</v>
      </c>
    </row>
    <row r="90" spans="1:9">
      <c r="A90">
        <v>1</v>
      </c>
      <c r="B90">
        <v>1</v>
      </c>
      <c r="C90">
        <v>75</v>
      </c>
      <c r="D90">
        <v>35</v>
      </c>
      <c r="E90">
        <v>5.6</v>
      </c>
      <c r="F90">
        <v>4.2</v>
      </c>
      <c r="G90">
        <v>16</v>
      </c>
      <c r="H90">
        <v>11108880</v>
      </c>
      <c r="I90">
        <v>0</v>
      </c>
    </row>
    <row r="91" spans="1:9">
      <c r="A91">
        <v>0</v>
      </c>
      <c r="B91">
        <v>0</v>
      </c>
      <c r="C91">
        <v>19</v>
      </c>
      <c r="D91">
        <v>29.7</v>
      </c>
      <c r="E91">
        <v>11.4</v>
      </c>
      <c r="F91">
        <v>4.0999999999999996</v>
      </c>
      <c r="G91">
        <v>15.8</v>
      </c>
      <c r="H91">
        <v>42336000</v>
      </c>
      <c r="I91">
        <v>0</v>
      </c>
    </row>
    <row r="92" spans="1:9">
      <c r="A92">
        <v>0</v>
      </c>
      <c r="B92">
        <v>0</v>
      </c>
      <c r="C92">
        <v>77</v>
      </c>
      <c r="D92">
        <v>35.1</v>
      </c>
      <c r="E92">
        <v>6.9</v>
      </c>
      <c r="F92">
        <v>1.9</v>
      </c>
      <c r="G92">
        <v>15.8</v>
      </c>
      <c r="H92">
        <v>12350392</v>
      </c>
      <c r="I92">
        <v>1</v>
      </c>
    </row>
    <row r="93" spans="1:9">
      <c r="A93">
        <v>1</v>
      </c>
      <c r="B93">
        <v>1</v>
      </c>
      <c r="C93">
        <v>68</v>
      </c>
      <c r="D93">
        <v>23.7</v>
      </c>
      <c r="E93">
        <v>2.2999999999999998</v>
      </c>
      <c r="F93">
        <v>3.3</v>
      </c>
      <c r="G93">
        <v>15.4</v>
      </c>
      <c r="H93">
        <v>18975000</v>
      </c>
      <c r="I93">
        <v>1</v>
      </c>
    </row>
    <row r="94" spans="1:9">
      <c r="A94">
        <v>1</v>
      </c>
      <c r="B94">
        <v>0</v>
      </c>
      <c r="C94">
        <v>56</v>
      </c>
      <c r="D94">
        <v>27.1</v>
      </c>
      <c r="E94">
        <v>8.5</v>
      </c>
      <c r="F94">
        <v>1.8</v>
      </c>
      <c r="G94">
        <v>15.4</v>
      </c>
      <c r="H94">
        <v>20000000</v>
      </c>
      <c r="I94">
        <v>1</v>
      </c>
    </row>
    <row r="95" spans="1:9">
      <c r="A95">
        <v>1</v>
      </c>
      <c r="B95">
        <v>0</v>
      </c>
      <c r="C95">
        <v>75</v>
      </c>
      <c r="D95">
        <v>28.3</v>
      </c>
      <c r="E95">
        <v>5</v>
      </c>
      <c r="F95">
        <v>4.7</v>
      </c>
      <c r="G95">
        <v>15.4</v>
      </c>
      <c r="H95">
        <v>3861600</v>
      </c>
      <c r="I95">
        <v>1</v>
      </c>
    </row>
    <row r="96" spans="1:9">
      <c r="A96">
        <v>1</v>
      </c>
      <c r="B96">
        <v>0</v>
      </c>
      <c r="C96">
        <v>68</v>
      </c>
      <c r="D96">
        <v>30.3</v>
      </c>
      <c r="E96">
        <v>4.8</v>
      </c>
      <c r="F96">
        <v>2.7</v>
      </c>
      <c r="G96">
        <v>15.4</v>
      </c>
      <c r="H96">
        <v>28223215</v>
      </c>
      <c r="I96">
        <v>0</v>
      </c>
    </row>
    <row r="97" spans="1:9">
      <c r="A97">
        <v>0</v>
      </c>
      <c r="B97">
        <v>0</v>
      </c>
      <c r="C97">
        <v>74</v>
      </c>
      <c r="D97">
        <v>29.5</v>
      </c>
      <c r="E97">
        <v>4.7</v>
      </c>
      <c r="F97">
        <v>3.3</v>
      </c>
      <c r="G97">
        <v>15.2</v>
      </c>
      <c r="H97">
        <v>9000000</v>
      </c>
      <c r="I97">
        <v>1</v>
      </c>
    </row>
    <row r="98" spans="1:9">
      <c r="A98">
        <v>1</v>
      </c>
      <c r="B98">
        <v>0</v>
      </c>
      <c r="C98">
        <v>74</v>
      </c>
      <c r="D98">
        <v>31</v>
      </c>
      <c r="E98">
        <v>7.6</v>
      </c>
      <c r="F98">
        <v>3.1</v>
      </c>
      <c r="G98">
        <v>15.2</v>
      </c>
      <c r="H98">
        <v>15000000</v>
      </c>
      <c r="I98">
        <v>1</v>
      </c>
    </row>
    <row r="99" spans="1:9">
      <c r="A99">
        <v>0</v>
      </c>
      <c r="B99">
        <v>0</v>
      </c>
      <c r="C99">
        <v>64</v>
      </c>
      <c r="D99">
        <v>29</v>
      </c>
      <c r="E99">
        <v>5.4</v>
      </c>
      <c r="F99">
        <v>6.7</v>
      </c>
      <c r="G99">
        <v>15.2</v>
      </c>
      <c r="H99">
        <v>3634153</v>
      </c>
      <c r="I99">
        <v>1</v>
      </c>
    </row>
    <row r="100" spans="1:9">
      <c r="A100">
        <v>1</v>
      </c>
      <c r="B100">
        <v>0</v>
      </c>
      <c r="C100">
        <v>64</v>
      </c>
      <c r="D100">
        <v>28.4</v>
      </c>
      <c r="E100">
        <v>8.4</v>
      </c>
      <c r="F100">
        <v>3.3</v>
      </c>
      <c r="G100">
        <v>15.1</v>
      </c>
      <c r="H100">
        <v>21481481</v>
      </c>
      <c r="I100">
        <v>0</v>
      </c>
    </row>
    <row r="101" spans="1:9">
      <c r="A101">
        <v>1</v>
      </c>
      <c r="B101">
        <v>1</v>
      </c>
      <c r="C101">
        <v>64</v>
      </c>
      <c r="D101">
        <v>29.8</v>
      </c>
      <c r="E101">
        <v>3.8</v>
      </c>
      <c r="F101">
        <v>3.7</v>
      </c>
      <c r="G101">
        <v>15</v>
      </c>
      <c r="H101">
        <v>7970280</v>
      </c>
      <c r="I101">
        <v>1</v>
      </c>
    </row>
    <row r="102" spans="1:9">
      <c r="A102">
        <v>0</v>
      </c>
      <c r="B102">
        <v>1</v>
      </c>
      <c r="C102">
        <v>11</v>
      </c>
      <c r="D102">
        <v>32.299999999999997</v>
      </c>
      <c r="E102">
        <v>3.4</v>
      </c>
      <c r="F102">
        <v>6.7</v>
      </c>
      <c r="G102">
        <v>15</v>
      </c>
      <c r="H102">
        <v>117730</v>
      </c>
      <c r="I102">
        <v>1</v>
      </c>
    </row>
    <row r="103" spans="1:9">
      <c r="A103">
        <v>0</v>
      </c>
      <c r="B103">
        <v>0</v>
      </c>
      <c r="C103">
        <v>75</v>
      </c>
      <c r="D103">
        <v>23.5</v>
      </c>
      <c r="E103">
        <v>3.1</v>
      </c>
      <c r="F103">
        <v>1.9</v>
      </c>
      <c r="G103">
        <v>14.9</v>
      </c>
      <c r="H103">
        <v>2693760</v>
      </c>
      <c r="I103">
        <v>1</v>
      </c>
    </row>
    <row r="104" spans="1:9">
      <c r="A104">
        <v>0</v>
      </c>
      <c r="B104">
        <v>1</v>
      </c>
      <c r="C104">
        <v>69</v>
      </c>
      <c r="D104">
        <v>27.3</v>
      </c>
      <c r="E104">
        <v>3.4</v>
      </c>
      <c r="F104">
        <v>3.6</v>
      </c>
      <c r="G104">
        <v>14.8</v>
      </c>
      <c r="H104">
        <v>7518518</v>
      </c>
      <c r="I104">
        <v>1</v>
      </c>
    </row>
    <row r="105" spans="1:9">
      <c r="A105">
        <v>1</v>
      </c>
      <c r="B105">
        <v>0</v>
      </c>
      <c r="C105">
        <v>48</v>
      </c>
      <c r="D105">
        <v>29</v>
      </c>
      <c r="E105">
        <v>5.0999999999999996</v>
      </c>
      <c r="F105">
        <v>4.5</v>
      </c>
      <c r="G105">
        <v>14.8</v>
      </c>
      <c r="H105">
        <v>2966760</v>
      </c>
      <c r="I105">
        <v>0</v>
      </c>
    </row>
    <row r="106" spans="1:9">
      <c r="A106">
        <v>0</v>
      </c>
      <c r="B106">
        <v>0</v>
      </c>
      <c r="C106">
        <v>73</v>
      </c>
      <c r="D106">
        <v>31.7</v>
      </c>
      <c r="E106">
        <v>4.2</v>
      </c>
      <c r="F106">
        <v>2.7</v>
      </c>
      <c r="G106">
        <v>14.8</v>
      </c>
      <c r="H106">
        <v>24393103</v>
      </c>
      <c r="I106">
        <v>1</v>
      </c>
    </row>
    <row r="107" spans="1:9">
      <c r="A107">
        <v>0</v>
      </c>
      <c r="B107">
        <v>0</v>
      </c>
      <c r="C107">
        <v>54</v>
      </c>
      <c r="D107">
        <v>29.6</v>
      </c>
      <c r="E107">
        <v>4.9000000000000004</v>
      </c>
      <c r="F107">
        <v>2.1</v>
      </c>
      <c r="G107">
        <v>14.6</v>
      </c>
      <c r="H107">
        <v>4356476</v>
      </c>
      <c r="I107">
        <v>1</v>
      </c>
    </row>
    <row r="108" spans="1:9">
      <c r="A108">
        <v>1</v>
      </c>
      <c r="B108">
        <v>0</v>
      </c>
      <c r="C108">
        <v>82</v>
      </c>
      <c r="D108">
        <v>32.799999999999997</v>
      </c>
      <c r="E108">
        <v>3.8</v>
      </c>
      <c r="F108">
        <v>3.7</v>
      </c>
      <c r="G108">
        <v>14.4</v>
      </c>
      <c r="H108">
        <v>24900000</v>
      </c>
      <c r="I108">
        <v>1</v>
      </c>
    </row>
    <row r="109" spans="1:9">
      <c r="A109">
        <v>0</v>
      </c>
      <c r="B109">
        <v>0</v>
      </c>
      <c r="C109">
        <v>5</v>
      </c>
      <c r="D109">
        <v>30.8</v>
      </c>
      <c r="E109">
        <v>10.8</v>
      </c>
      <c r="F109">
        <v>3</v>
      </c>
      <c r="G109">
        <v>14.4</v>
      </c>
      <c r="H109">
        <v>4878938</v>
      </c>
      <c r="I109">
        <v>1</v>
      </c>
    </row>
    <row r="110" spans="1:9">
      <c r="A110">
        <v>1</v>
      </c>
      <c r="B110">
        <v>1</v>
      </c>
      <c r="C110">
        <v>55</v>
      </c>
      <c r="D110">
        <v>24.9</v>
      </c>
      <c r="E110">
        <v>2.5</v>
      </c>
      <c r="F110">
        <v>2.4</v>
      </c>
      <c r="G110">
        <v>14.3</v>
      </c>
      <c r="H110">
        <v>27678571</v>
      </c>
      <c r="I110">
        <v>1</v>
      </c>
    </row>
    <row r="111" spans="1:9">
      <c r="A111">
        <v>0</v>
      </c>
      <c r="B111">
        <v>1</v>
      </c>
      <c r="C111">
        <v>82</v>
      </c>
      <c r="D111">
        <v>25.8</v>
      </c>
      <c r="E111">
        <v>3.7</v>
      </c>
      <c r="F111">
        <v>3.4</v>
      </c>
      <c r="G111">
        <v>14.3</v>
      </c>
      <c r="H111">
        <v>7520040</v>
      </c>
      <c r="I111">
        <v>1</v>
      </c>
    </row>
    <row r="112" spans="1:9">
      <c r="A112">
        <v>1</v>
      </c>
      <c r="B112">
        <v>1</v>
      </c>
      <c r="C112">
        <v>11</v>
      </c>
      <c r="D112">
        <v>24.6</v>
      </c>
      <c r="E112">
        <v>2.5</v>
      </c>
      <c r="F112">
        <v>1.7</v>
      </c>
      <c r="G112">
        <v>14.3</v>
      </c>
      <c r="H112">
        <v>168253</v>
      </c>
      <c r="I112">
        <v>1</v>
      </c>
    </row>
    <row r="113" spans="1:9">
      <c r="A113">
        <v>0</v>
      </c>
      <c r="B113">
        <v>1</v>
      </c>
      <c r="C113">
        <v>30</v>
      </c>
      <c r="D113">
        <v>24.9</v>
      </c>
      <c r="E113">
        <v>2.7</v>
      </c>
      <c r="F113">
        <v>3.7</v>
      </c>
      <c r="G113">
        <v>14.2</v>
      </c>
      <c r="H113">
        <v>10748040</v>
      </c>
      <c r="I113">
        <v>1</v>
      </c>
    </row>
    <row r="114" spans="1:9">
      <c r="A114">
        <v>0</v>
      </c>
      <c r="B114">
        <v>0</v>
      </c>
      <c r="C114">
        <v>56</v>
      </c>
      <c r="D114">
        <v>31</v>
      </c>
      <c r="E114">
        <v>7</v>
      </c>
      <c r="F114">
        <v>1.8</v>
      </c>
      <c r="G114">
        <v>14.2</v>
      </c>
      <c r="H114">
        <v>14152174</v>
      </c>
      <c r="I114">
        <v>1</v>
      </c>
    </row>
    <row r="115" spans="1:9">
      <c r="A115">
        <v>1</v>
      </c>
      <c r="B115">
        <v>0</v>
      </c>
      <c r="C115">
        <v>48</v>
      </c>
      <c r="D115">
        <v>30.1</v>
      </c>
      <c r="E115">
        <v>10.6</v>
      </c>
      <c r="F115">
        <v>2.2000000000000002</v>
      </c>
      <c r="G115">
        <v>14.1</v>
      </c>
      <c r="H115">
        <v>18102000</v>
      </c>
      <c r="I115">
        <v>0</v>
      </c>
    </row>
    <row r="116" spans="1:9">
      <c r="A116">
        <v>1</v>
      </c>
      <c r="B116">
        <v>1</v>
      </c>
      <c r="C116">
        <v>65</v>
      </c>
      <c r="D116">
        <v>27</v>
      </c>
      <c r="E116">
        <v>3.1</v>
      </c>
      <c r="F116">
        <v>5.4</v>
      </c>
      <c r="G116">
        <v>14.1</v>
      </c>
      <c r="H116">
        <v>8000000</v>
      </c>
      <c r="I116">
        <v>1</v>
      </c>
    </row>
    <row r="117" spans="1:9">
      <c r="A117">
        <v>1</v>
      </c>
      <c r="B117">
        <v>0</v>
      </c>
      <c r="C117">
        <v>50</v>
      </c>
      <c r="D117">
        <v>31.5</v>
      </c>
      <c r="E117">
        <v>5</v>
      </c>
      <c r="F117">
        <v>1.6</v>
      </c>
      <c r="G117">
        <v>14.1</v>
      </c>
      <c r="H117">
        <v>8382150</v>
      </c>
      <c r="I117">
        <v>1</v>
      </c>
    </row>
    <row r="118" spans="1:9">
      <c r="A118">
        <v>0</v>
      </c>
      <c r="B118">
        <v>0</v>
      </c>
      <c r="C118">
        <v>43</v>
      </c>
      <c r="D118">
        <v>27.9</v>
      </c>
      <c r="E118">
        <v>6.7</v>
      </c>
      <c r="F118">
        <v>2.9</v>
      </c>
      <c r="G118">
        <v>14</v>
      </c>
      <c r="H118">
        <v>18485916</v>
      </c>
      <c r="I118">
        <v>0</v>
      </c>
    </row>
    <row r="119" spans="1:9">
      <c r="A119">
        <v>0</v>
      </c>
      <c r="B119">
        <v>0</v>
      </c>
      <c r="C119">
        <v>23</v>
      </c>
      <c r="D119">
        <v>34.5</v>
      </c>
      <c r="E119">
        <v>5.7</v>
      </c>
      <c r="F119">
        <v>1.7</v>
      </c>
      <c r="G119">
        <v>14</v>
      </c>
      <c r="H119">
        <v>11144093</v>
      </c>
      <c r="I119">
        <v>1</v>
      </c>
    </row>
    <row r="120" spans="1:9">
      <c r="A120">
        <v>0</v>
      </c>
      <c r="B120">
        <v>1</v>
      </c>
      <c r="C120">
        <v>67</v>
      </c>
      <c r="D120">
        <v>30.5</v>
      </c>
      <c r="E120">
        <v>4</v>
      </c>
      <c r="F120">
        <v>2.5</v>
      </c>
      <c r="G120">
        <v>13.9</v>
      </c>
      <c r="H120">
        <v>27000000</v>
      </c>
      <c r="I120">
        <v>1</v>
      </c>
    </row>
    <row r="121" spans="1:9">
      <c r="A121">
        <v>0</v>
      </c>
      <c r="B121">
        <v>0</v>
      </c>
      <c r="C121">
        <v>72</v>
      </c>
      <c r="D121">
        <v>27.6</v>
      </c>
      <c r="E121">
        <v>4.2</v>
      </c>
      <c r="F121">
        <v>1.8</v>
      </c>
      <c r="G121">
        <v>13.8</v>
      </c>
      <c r="H121">
        <v>9069840</v>
      </c>
      <c r="I121">
        <v>1</v>
      </c>
    </row>
    <row r="122" spans="1:9">
      <c r="A122">
        <v>1</v>
      </c>
      <c r="B122">
        <v>0</v>
      </c>
      <c r="C122">
        <v>45</v>
      </c>
      <c r="D122">
        <v>29.7</v>
      </c>
      <c r="E122">
        <v>4.2</v>
      </c>
      <c r="F122">
        <v>1.9</v>
      </c>
      <c r="G122">
        <v>13.8</v>
      </c>
      <c r="H122">
        <v>11000000</v>
      </c>
      <c r="I122">
        <v>1</v>
      </c>
    </row>
    <row r="123" spans="1:9">
      <c r="A123">
        <v>0</v>
      </c>
      <c r="B123">
        <v>1</v>
      </c>
      <c r="C123">
        <v>82</v>
      </c>
      <c r="D123">
        <v>28.5</v>
      </c>
      <c r="E123">
        <v>5.0999999999999996</v>
      </c>
      <c r="F123">
        <v>3.7</v>
      </c>
      <c r="G123">
        <v>13.8</v>
      </c>
      <c r="H123">
        <v>3687960</v>
      </c>
      <c r="I123">
        <v>1</v>
      </c>
    </row>
    <row r="124" spans="1:9">
      <c r="A124">
        <v>1</v>
      </c>
      <c r="B124">
        <v>1</v>
      </c>
      <c r="C124">
        <v>57</v>
      </c>
      <c r="D124">
        <v>27.6</v>
      </c>
      <c r="E124">
        <v>3.9</v>
      </c>
      <c r="F124">
        <v>5.5</v>
      </c>
      <c r="G124">
        <v>13.8</v>
      </c>
      <c r="H124">
        <v>35000000</v>
      </c>
      <c r="I124">
        <v>1</v>
      </c>
    </row>
    <row r="125" spans="1:9">
      <c r="A125">
        <v>0</v>
      </c>
      <c r="B125">
        <v>0</v>
      </c>
      <c r="C125">
        <v>45</v>
      </c>
      <c r="D125">
        <v>26.1</v>
      </c>
      <c r="E125">
        <v>4.0999999999999996</v>
      </c>
      <c r="F125">
        <v>2</v>
      </c>
      <c r="G125">
        <v>13.7</v>
      </c>
      <c r="H125">
        <v>23303571</v>
      </c>
      <c r="I125">
        <v>1</v>
      </c>
    </row>
    <row r="126" spans="1:9">
      <c r="A126">
        <v>1</v>
      </c>
      <c r="B126">
        <v>0</v>
      </c>
      <c r="C126">
        <v>67</v>
      </c>
      <c r="D126">
        <v>24.2</v>
      </c>
      <c r="E126">
        <v>6.4</v>
      </c>
      <c r="F126">
        <v>1.6</v>
      </c>
      <c r="G126">
        <v>13.7</v>
      </c>
      <c r="H126">
        <v>13445754</v>
      </c>
      <c r="I126">
        <v>1</v>
      </c>
    </row>
    <row r="127" spans="1:9">
      <c r="A127">
        <v>0</v>
      </c>
      <c r="B127">
        <v>0</v>
      </c>
      <c r="C127">
        <v>69</v>
      </c>
      <c r="D127">
        <v>27.1</v>
      </c>
      <c r="E127">
        <v>5.3</v>
      </c>
      <c r="F127">
        <v>1</v>
      </c>
      <c r="G127">
        <v>13.6</v>
      </c>
      <c r="H127">
        <v>26580000</v>
      </c>
      <c r="I127">
        <v>1</v>
      </c>
    </row>
    <row r="128" spans="1:9">
      <c r="A128">
        <v>0</v>
      </c>
      <c r="B128">
        <v>1</v>
      </c>
      <c r="C128">
        <v>62</v>
      </c>
      <c r="D128">
        <v>25.8</v>
      </c>
      <c r="E128">
        <v>5.9</v>
      </c>
      <c r="F128">
        <v>2.8</v>
      </c>
      <c r="G128">
        <v>13.6</v>
      </c>
      <c r="H128">
        <v>5715120</v>
      </c>
      <c r="I128">
        <v>1</v>
      </c>
    </row>
    <row r="129" spans="1:9">
      <c r="A129">
        <v>0</v>
      </c>
      <c r="B129">
        <v>0</v>
      </c>
      <c r="C129">
        <v>11</v>
      </c>
      <c r="D129">
        <v>25.8</v>
      </c>
      <c r="E129">
        <v>11.1</v>
      </c>
      <c r="F129">
        <v>1.1000000000000001</v>
      </c>
      <c r="G129">
        <v>13.6</v>
      </c>
      <c r="H129">
        <v>6045000</v>
      </c>
      <c r="I129">
        <v>0</v>
      </c>
    </row>
    <row r="130" spans="1:9">
      <c r="A130">
        <v>0</v>
      </c>
      <c r="B130">
        <v>1</v>
      </c>
      <c r="C130">
        <v>57</v>
      </c>
      <c r="D130">
        <v>25.8</v>
      </c>
      <c r="E130">
        <v>3.3</v>
      </c>
      <c r="F130">
        <v>3.6</v>
      </c>
      <c r="G130">
        <v>13.6</v>
      </c>
      <c r="H130">
        <v>3000000</v>
      </c>
      <c r="I130">
        <v>0</v>
      </c>
    </row>
    <row r="131" spans="1:9">
      <c r="A131">
        <v>0</v>
      </c>
      <c r="B131">
        <v>0</v>
      </c>
      <c r="C131">
        <v>77</v>
      </c>
      <c r="D131">
        <v>26.1</v>
      </c>
      <c r="E131">
        <v>6.2</v>
      </c>
      <c r="F131">
        <v>2.2000000000000002</v>
      </c>
      <c r="G131">
        <v>13.6</v>
      </c>
      <c r="H131">
        <v>21551724</v>
      </c>
      <c r="I131">
        <v>1</v>
      </c>
    </row>
    <row r="132" spans="1:9">
      <c r="A132">
        <v>0</v>
      </c>
      <c r="B132">
        <v>1</v>
      </c>
      <c r="C132">
        <v>80</v>
      </c>
      <c r="D132">
        <v>26.6</v>
      </c>
      <c r="E132">
        <v>2.6</v>
      </c>
      <c r="F132">
        <v>1.4</v>
      </c>
      <c r="G132">
        <v>13.5</v>
      </c>
      <c r="H132">
        <v>3634153</v>
      </c>
      <c r="I132">
        <v>1</v>
      </c>
    </row>
    <row r="133" spans="1:9">
      <c r="A133">
        <v>0</v>
      </c>
      <c r="B133">
        <v>1</v>
      </c>
      <c r="C133">
        <v>82</v>
      </c>
      <c r="D133">
        <v>26.2</v>
      </c>
      <c r="E133">
        <v>2.9</v>
      </c>
      <c r="F133">
        <v>3.4</v>
      </c>
      <c r="G133">
        <v>13.5</v>
      </c>
      <c r="H133">
        <v>10603560</v>
      </c>
      <c r="I133">
        <v>1</v>
      </c>
    </row>
    <row r="134" spans="1:9">
      <c r="A134">
        <v>0</v>
      </c>
      <c r="B134">
        <v>0</v>
      </c>
      <c r="C134">
        <v>82</v>
      </c>
      <c r="D134">
        <v>33.299999999999997</v>
      </c>
      <c r="E134">
        <v>5.0999999999999996</v>
      </c>
      <c r="F134">
        <v>2.5</v>
      </c>
      <c r="G134">
        <v>13.4</v>
      </c>
      <c r="H134">
        <v>2221677</v>
      </c>
      <c r="I134">
        <v>0</v>
      </c>
    </row>
    <row r="135" spans="1:9">
      <c r="A135">
        <v>1</v>
      </c>
      <c r="B135">
        <v>1</v>
      </c>
      <c r="C135">
        <v>75</v>
      </c>
      <c r="D135">
        <v>29.4</v>
      </c>
      <c r="E135">
        <v>3.6</v>
      </c>
      <c r="F135">
        <v>3.3</v>
      </c>
      <c r="G135">
        <v>13.4</v>
      </c>
      <c r="H135">
        <v>8741209</v>
      </c>
      <c r="I135">
        <v>1</v>
      </c>
    </row>
    <row r="136" spans="1:9">
      <c r="A136">
        <v>0</v>
      </c>
      <c r="B136">
        <v>1</v>
      </c>
      <c r="C136">
        <v>39</v>
      </c>
      <c r="D136">
        <v>23.9</v>
      </c>
      <c r="E136">
        <v>2</v>
      </c>
      <c r="F136">
        <v>3.1</v>
      </c>
      <c r="G136">
        <v>13.4</v>
      </c>
      <c r="H136">
        <v>31848215</v>
      </c>
      <c r="I136">
        <v>1</v>
      </c>
    </row>
    <row r="137" spans="1:9">
      <c r="A137">
        <v>1</v>
      </c>
      <c r="B137">
        <v>0</v>
      </c>
      <c r="C137">
        <v>63</v>
      </c>
      <c r="D137">
        <v>27.7</v>
      </c>
      <c r="E137">
        <v>5.0999999999999996</v>
      </c>
      <c r="F137">
        <v>2.5</v>
      </c>
      <c r="G137">
        <v>13.3</v>
      </c>
      <c r="H137">
        <v>26634146</v>
      </c>
      <c r="I137">
        <v>1</v>
      </c>
    </row>
    <row r="138" spans="1:9">
      <c r="A138">
        <v>0</v>
      </c>
      <c r="B138">
        <v>0</v>
      </c>
      <c r="C138">
        <v>82</v>
      </c>
      <c r="D138">
        <v>23.3</v>
      </c>
      <c r="E138">
        <v>5.4</v>
      </c>
      <c r="F138">
        <v>1.4</v>
      </c>
      <c r="G138">
        <v>13.2</v>
      </c>
      <c r="H138">
        <v>17500000</v>
      </c>
      <c r="I138">
        <v>1</v>
      </c>
    </row>
    <row r="139" spans="1:9">
      <c r="A139">
        <v>1</v>
      </c>
      <c r="B139">
        <v>1</v>
      </c>
      <c r="C139">
        <v>66</v>
      </c>
      <c r="D139">
        <v>26.9</v>
      </c>
      <c r="E139">
        <v>5.0999999999999996</v>
      </c>
      <c r="F139">
        <v>2.2000000000000002</v>
      </c>
      <c r="G139">
        <v>13.2</v>
      </c>
      <c r="H139">
        <v>3492480</v>
      </c>
      <c r="I139">
        <v>1</v>
      </c>
    </row>
    <row r="140" spans="1:9">
      <c r="A140">
        <v>1</v>
      </c>
      <c r="B140">
        <v>0</v>
      </c>
      <c r="C140">
        <v>69</v>
      </c>
      <c r="D140">
        <v>26.2</v>
      </c>
      <c r="E140">
        <v>4.5</v>
      </c>
      <c r="F140">
        <v>2.7</v>
      </c>
      <c r="G140">
        <v>13</v>
      </c>
      <c r="H140">
        <v>21477272</v>
      </c>
      <c r="I140">
        <v>1</v>
      </c>
    </row>
    <row r="141" spans="1:9">
      <c r="A141">
        <v>0</v>
      </c>
      <c r="B141">
        <v>1</v>
      </c>
      <c r="C141">
        <v>66</v>
      </c>
      <c r="D141">
        <v>22.2</v>
      </c>
      <c r="E141">
        <v>2.9</v>
      </c>
      <c r="F141">
        <v>3.9</v>
      </c>
      <c r="G141">
        <v>13</v>
      </c>
      <c r="H141">
        <v>2270735</v>
      </c>
      <c r="I141">
        <v>1</v>
      </c>
    </row>
    <row r="142" spans="1:9">
      <c r="A142">
        <v>1</v>
      </c>
      <c r="B142">
        <v>1</v>
      </c>
      <c r="C142">
        <v>52</v>
      </c>
      <c r="D142">
        <v>26.5</v>
      </c>
      <c r="E142">
        <v>2.6</v>
      </c>
      <c r="F142">
        <v>2.4</v>
      </c>
      <c r="G142">
        <v>12.8</v>
      </c>
      <c r="H142">
        <v>8482144</v>
      </c>
      <c r="I142">
        <v>1</v>
      </c>
    </row>
    <row r="143" spans="1:9">
      <c r="A143">
        <v>0</v>
      </c>
      <c r="B143">
        <v>1</v>
      </c>
      <c r="C143">
        <v>80</v>
      </c>
      <c r="D143">
        <v>28.5</v>
      </c>
      <c r="E143">
        <v>4.0999999999999996</v>
      </c>
      <c r="F143">
        <v>4.5999999999999996</v>
      </c>
      <c r="G143">
        <v>12.7</v>
      </c>
      <c r="H143">
        <v>2378870</v>
      </c>
      <c r="I143">
        <v>1</v>
      </c>
    </row>
    <row r="144" spans="1:9">
      <c r="A144">
        <v>0</v>
      </c>
      <c r="B144">
        <v>0</v>
      </c>
      <c r="C144">
        <v>72</v>
      </c>
      <c r="D144">
        <v>27.2</v>
      </c>
      <c r="E144">
        <v>8</v>
      </c>
      <c r="F144">
        <v>0.8</v>
      </c>
      <c r="G144">
        <v>12.5</v>
      </c>
      <c r="H144">
        <v>8104000</v>
      </c>
      <c r="I144">
        <v>0</v>
      </c>
    </row>
    <row r="145" spans="1:9">
      <c r="A145">
        <v>0</v>
      </c>
      <c r="B145">
        <v>0</v>
      </c>
      <c r="C145">
        <v>55</v>
      </c>
      <c r="D145">
        <v>21.4</v>
      </c>
      <c r="E145">
        <v>4.3</v>
      </c>
      <c r="F145">
        <v>1.5</v>
      </c>
      <c r="G145">
        <v>12.5</v>
      </c>
      <c r="H145">
        <v>2221677</v>
      </c>
      <c r="I145">
        <v>1</v>
      </c>
    </row>
    <row r="146" spans="1:9">
      <c r="A146">
        <v>0</v>
      </c>
      <c r="B146">
        <v>1</v>
      </c>
      <c r="C146">
        <v>62</v>
      </c>
      <c r="D146">
        <v>22</v>
      </c>
      <c r="E146">
        <v>1.9</v>
      </c>
      <c r="F146">
        <v>3</v>
      </c>
      <c r="G146">
        <v>12.5</v>
      </c>
      <c r="H146">
        <v>18797619</v>
      </c>
      <c r="I146">
        <v>1</v>
      </c>
    </row>
    <row r="147" spans="1:9">
      <c r="A147">
        <v>0</v>
      </c>
      <c r="B147">
        <v>0</v>
      </c>
      <c r="C147">
        <v>74</v>
      </c>
      <c r="D147">
        <v>26.5</v>
      </c>
      <c r="E147">
        <v>7.5</v>
      </c>
      <c r="F147">
        <v>1.4</v>
      </c>
      <c r="G147">
        <v>12.5</v>
      </c>
      <c r="H147">
        <v>1272870</v>
      </c>
      <c r="I147">
        <v>0</v>
      </c>
    </row>
    <row r="148" spans="1:9">
      <c r="A148">
        <v>0</v>
      </c>
      <c r="B148">
        <v>1</v>
      </c>
      <c r="C148">
        <v>69</v>
      </c>
      <c r="D148">
        <v>26.4</v>
      </c>
      <c r="E148">
        <v>3.2</v>
      </c>
      <c r="F148">
        <v>1.6</v>
      </c>
      <c r="G148">
        <v>12.5</v>
      </c>
      <c r="H148">
        <v>1955377</v>
      </c>
      <c r="I148">
        <v>1</v>
      </c>
    </row>
    <row r="149" spans="1:9">
      <c r="A149">
        <v>0</v>
      </c>
      <c r="B149">
        <v>1</v>
      </c>
      <c r="C149">
        <v>77</v>
      </c>
      <c r="D149">
        <v>29.1</v>
      </c>
      <c r="E149">
        <v>3.2</v>
      </c>
      <c r="F149">
        <v>2</v>
      </c>
      <c r="G149">
        <v>12.3</v>
      </c>
      <c r="H149">
        <v>7714286</v>
      </c>
      <c r="I149">
        <v>1</v>
      </c>
    </row>
    <row r="150" spans="1:9">
      <c r="A150">
        <v>1</v>
      </c>
      <c r="B150">
        <v>0</v>
      </c>
      <c r="C150">
        <v>66</v>
      </c>
      <c r="D150">
        <v>27</v>
      </c>
      <c r="E150">
        <v>4.0999999999999996</v>
      </c>
      <c r="F150">
        <v>1.6</v>
      </c>
      <c r="G150">
        <v>12.3</v>
      </c>
      <c r="H150">
        <v>3398640</v>
      </c>
      <c r="I150">
        <v>1</v>
      </c>
    </row>
    <row r="151" spans="1:9">
      <c r="A151">
        <v>0</v>
      </c>
      <c r="B151">
        <v>1</v>
      </c>
      <c r="C151">
        <v>49</v>
      </c>
      <c r="D151">
        <v>23</v>
      </c>
      <c r="E151">
        <v>3.2</v>
      </c>
      <c r="F151">
        <v>2.6</v>
      </c>
      <c r="G151">
        <v>12.3</v>
      </c>
      <c r="H151">
        <v>3080921</v>
      </c>
      <c r="I151">
        <v>1</v>
      </c>
    </row>
    <row r="152" spans="1:9">
      <c r="A152">
        <v>1</v>
      </c>
      <c r="B152">
        <v>0</v>
      </c>
      <c r="C152">
        <v>36</v>
      </c>
      <c r="D152">
        <v>23.1</v>
      </c>
      <c r="E152">
        <v>5.6</v>
      </c>
      <c r="F152">
        <v>2.2999999999999998</v>
      </c>
      <c r="G152">
        <v>12.2</v>
      </c>
      <c r="H152">
        <v>22500000</v>
      </c>
      <c r="I152">
        <v>0</v>
      </c>
    </row>
    <row r="153" spans="1:9">
      <c r="A153">
        <v>0</v>
      </c>
      <c r="B153">
        <v>1</v>
      </c>
      <c r="C153">
        <v>82</v>
      </c>
      <c r="D153">
        <v>30.4</v>
      </c>
      <c r="E153">
        <v>4.0999999999999996</v>
      </c>
      <c r="F153">
        <v>3.8</v>
      </c>
      <c r="G153">
        <v>12.2</v>
      </c>
      <c r="H153">
        <v>11990000</v>
      </c>
      <c r="I153">
        <v>1</v>
      </c>
    </row>
    <row r="154" spans="1:9">
      <c r="A154">
        <v>0</v>
      </c>
      <c r="B154">
        <v>0</v>
      </c>
      <c r="C154">
        <v>54</v>
      </c>
      <c r="D154">
        <v>30.5</v>
      </c>
      <c r="E154">
        <v>3.8</v>
      </c>
      <c r="F154">
        <v>2.4</v>
      </c>
      <c r="G154">
        <v>12.2</v>
      </c>
      <c r="H154">
        <v>20543478</v>
      </c>
      <c r="I154">
        <v>1</v>
      </c>
    </row>
    <row r="155" spans="1:9">
      <c r="A155">
        <v>1</v>
      </c>
      <c r="B155">
        <v>1</v>
      </c>
      <c r="C155">
        <v>60</v>
      </c>
      <c r="D155">
        <v>24.1</v>
      </c>
      <c r="E155">
        <v>2.8</v>
      </c>
      <c r="F155">
        <v>2</v>
      </c>
      <c r="G155">
        <v>12.2</v>
      </c>
      <c r="H155">
        <v>8237640</v>
      </c>
      <c r="I155">
        <v>1</v>
      </c>
    </row>
    <row r="156" spans="1:9">
      <c r="A156">
        <v>1</v>
      </c>
      <c r="B156">
        <v>1</v>
      </c>
      <c r="C156">
        <v>77</v>
      </c>
      <c r="D156">
        <v>27.4</v>
      </c>
      <c r="E156">
        <v>2.7</v>
      </c>
      <c r="F156">
        <v>2.1</v>
      </c>
      <c r="G156">
        <v>12.2</v>
      </c>
      <c r="H156">
        <v>16834692</v>
      </c>
      <c r="I156">
        <v>1</v>
      </c>
    </row>
    <row r="157" spans="1:9">
      <c r="A157">
        <v>0</v>
      </c>
      <c r="B157">
        <v>0</v>
      </c>
      <c r="C157">
        <v>77</v>
      </c>
      <c r="D157">
        <v>27.2</v>
      </c>
      <c r="E157">
        <v>11.6</v>
      </c>
      <c r="F157">
        <v>2.1</v>
      </c>
      <c r="G157">
        <v>12.1</v>
      </c>
      <c r="H157">
        <v>7178400</v>
      </c>
      <c r="I157">
        <v>1</v>
      </c>
    </row>
    <row r="158" spans="1:9">
      <c r="A158">
        <v>0</v>
      </c>
      <c r="B158">
        <v>1</v>
      </c>
      <c r="C158">
        <v>60</v>
      </c>
      <c r="D158">
        <v>25.7</v>
      </c>
      <c r="E158">
        <v>3.3</v>
      </c>
      <c r="F158">
        <v>1.6</v>
      </c>
      <c r="G158">
        <v>12.1</v>
      </c>
      <c r="H158">
        <v>11574075</v>
      </c>
      <c r="I158">
        <v>1</v>
      </c>
    </row>
    <row r="159" spans="1:9">
      <c r="A159">
        <v>0</v>
      </c>
      <c r="B159">
        <v>1</v>
      </c>
      <c r="C159">
        <v>44</v>
      </c>
      <c r="D159">
        <v>31.8</v>
      </c>
      <c r="E159">
        <v>4.8</v>
      </c>
      <c r="F159">
        <v>2.7</v>
      </c>
      <c r="G159">
        <v>12</v>
      </c>
      <c r="H159">
        <v>4921797</v>
      </c>
      <c r="I159">
        <v>1</v>
      </c>
    </row>
    <row r="160" spans="1:9">
      <c r="A160">
        <v>1</v>
      </c>
      <c r="B160">
        <v>0</v>
      </c>
      <c r="C160">
        <v>66</v>
      </c>
      <c r="D160">
        <v>30.2</v>
      </c>
      <c r="E160">
        <v>7.4</v>
      </c>
      <c r="F160">
        <v>4.8</v>
      </c>
      <c r="G160">
        <v>12</v>
      </c>
      <c r="H160">
        <v>19472240</v>
      </c>
      <c r="I160">
        <v>1</v>
      </c>
    </row>
    <row r="161" spans="1:9">
      <c r="A161">
        <v>1</v>
      </c>
      <c r="B161">
        <v>1</v>
      </c>
      <c r="C161">
        <v>41</v>
      </c>
      <c r="D161">
        <v>26.3</v>
      </c>
      <c r="E161">
        <v>2.4</v>
      </c>
      <c r="F161">
        <v>2.6</v>
      </c>
      <c r="G161">
        <v>12</v>
      </c>
      <c r="H161">
        <v>4333333</v>
      </c>
      <c r="I161">
        <v>1</v>
      </c>
    </row>
    <row r="162" spans="1:9">
      <c r="A162">
        <v>0</v>
      </c>
      <c r="B162">
        <v>1</v>
      </c>
      <c r="C162">
        <v>1</v>
      </c>
      <c r="D162">
        <v>12</v>
      </c>
      <c r="E162">
        <v>3</v>
      </c>
      <c r="F162">
        <v>0</v>
      </c>
      <c r="G162">
        <v>12</v>
      </c>
      <c r="H162">
        <v>365767</v>
      </c>
      <c r="I162">
        <v>1</v>
      </c>
    </row>
    <row r="163" spans="1:9">
      <c r="A163">
        <v>1</v>
      </c>
      <c r="B163">
        <v>1</v>
      </c>
      <c r="C163">
        <v>76</v>
      </c>
      <c r="D163">
        <v>33.200000000000003</v>
      </c>
      <c r="E163">
        <v>6.8</v>
      </c>
      <c r="F163">
        <v>5.9</v>
      </c>
      <c r="G163">
        <v>11.9</v>
      </c>
      <c r="H163">
        <v>7707709</v>
      </c>
      <c r="I163">
        <v>0</v>
      </c>
    </row>
    <row r="164" spans="1:9">
      <c r="A164">
        <v>0</v>
      </c>
      <c r="B164">
        <v>0</v>
      </c>
      <c r="C164">
        <v>14</v>
      </c>
      <c r="D164">
        <v>20.399999999999999</v>
      </c>
      <c r="E164">
        <v>2.4</v>
      </c>
      <c r="F164">
        <v>1.1000000000000001</v>
      </c>
      <c r="G164">
        <v>11.9</v>
      </c>
      <c r="H164">
        <v>230433</v>
      </c>
      <c r="I164">
        <v>1</v>
      </c>
    </row>
    <row r="165" spans="1:9">
      <c r="A165">
        <v>1</v>
      </c>
      <c r="B165">
        <v>0</v>
      </c>
      <c r="C165">
        <v>71</v>
      </c>
      <c r="D165">
        <v>26.9</v>
      </c>
      <c r="E165">
        <v>5.3</v>
      </c>
      <c r="F165">
        <v>1.5</v>
      </c>
      <c r="G165">
        <v>11.9</v>
      </c>
      <c r="H165">
        <v>25318251</v>
      </c>
      <c r="I165">
        <v>1</v>
      </c>
    </row>
    <row r="166" spans="1:9">
      <c r="A166">
        <v>1</v>
      </c>
      <c r="B166">
        <v>0</v>
      </c>
      <c r="C166">
        <v>78</v>
      </c>
      <c r="D166">
        <v>29.3</v>
      </c>
      <c r="E166">
        <v>7.4</v>
      </c>
      <c r="F166">
        <v>2</v>
      </c>
      <c r="G166">
        <v>11.8</v>
      </c>
      <c r="H166">
        <v>10850000</v>
      </c>
      <c r="I166">
        <v>1</v>
      </c>
    </row>
    <row r="167" spans="1:9">
      <c r="A167">
        <v>0</v>
      </c>
      <c r="B167">
        <v>1</v>
      </c>
      <c r="C167">
        <v>69</v>
      </c>
      <c r="D167">
        <v>22.6</v>
      </c>
      <c r="E167">
        <v>3.4</v>
      </c>
      <c r="F167">
        <v>3.9</v>
      </c>
      <c r="G167">
        <v>11.8</v>
      </c>
      <c r="H167">
        <v>12370320</v>
      </c>
      <c r="I167">
        <v>1</v>
      </c>
    </row>
    <row r="168" spans="1:9">
      <c r="A168">
        <v>1</v>
      </c>
      <c r="B168">
        <v>0</v>
      </c>
      <c r="C168">
        <v>13</v>
      </c>
      <c r="D168">
        <v>30.9</v>
      </c>
      <c r="E168">
        <v>10.5</v>
      </c>
      <c r="F168">
        <v>1.8</v>
      </c>
      <c r="G168">
        <v>11.8</v>
      </c>
      <c r="H168">
        <v>160938</v>
      </c>
      <c r="I168">
        <v>1</v>
      </c>
    </row>
    <row r="169" spans="1:9">
      <c r="A169">
        <v>1</v>
      </c>
      <c r="B169">
        <v>0</v>
      </c>
      <c r="C169">
        <v>69</v>
      </c>
      <c r="D169">
        <v>27.8</v>
      </c>
      <c r="E169">
        <v>6.9</v>
      </c>
      <c r="F169">
        <v>3.7</v>
      </c>
      <c r="G169">
        <v>11.7</v>
      </c>
      <c r="H169">
        <v>25352272</v>
      </c>
      <c r="I169">
        <v>1</v>
      </c>
    </row>
    <row r="170" spans="1:9">
      <c r="A170">
        <v>0</v>
      </c>
      <c r="B170">
        <v>1</v>
      </c>
      <c r="C170">
        <v>59</v>
      </c>
      <c r="D170">
        <v>25.7</v>
      </c>
      <c r="E170">
        <v>2.5</v>
      </c>
      <c r="F170">
        <v>7.2</v>
      </c>
      <c r="G170">
        <v>11.7</v>
      </c>
      <c r="H170">
        <v>2638200</v>
      </c>
      <c r="I170">
        <v>1</v>
      </c>
    </row>
    <row r="171" spans="1:9">
      <c r="A171">
        <v>1</v>
      </c>
      <c r="B171">
        <v>1</v>
      </c>
      <c r="C171">
        <v>56</v>
      </c>
      <c r="D171">
        <v>26.2</v>
      </c>
      <c r="E171">
        <v>4.3</v>
      </c>
      <c r="F171">
        <v>2.6</v>
      </c>
      <c r="G171">
        <v>11.7</v>
      </c>
      <c r="H171">
        <v>7275600</v>
      </c>
      <c r="I171">
        <v>0</v>
      </c>
    </row>
    <row r="172" spans="1:9">
      <c r="A172">
        <v>0</v>
      </c>
      <c r="B172">
        <v>0</v>
      </c>
      <c r="C172">
        <v>81</v>
      </c>
      <c r="D172">
        <v>25</v>
      </c>
      <c r="E172">
        <v>7.1</v>
      </c>
      <c r="F172">
        <v>3.7</v>
      </c>
      <c r="G172">
        <v>11.7</v>
      </c>
      <c r="H172">
        <v>5157960</v>
      </c>
      <c r="I172">
        <v>1</v>
      </c>
    </row>
    <row r="173" spans="1:9">
      <c r="A173">
        <v>0</v>
      </c>
      <c r="B173">
        <v>0</v>
      </c>
      <c r="C173">
        <v>69</v>
      </c>
      <c r="D173">
        <v>21.7</v>
      </c>
      <c r="E173">
        <v>2.1</v>
      </c>
      <c r="F173">
        <v>1.4</v>
      </c>
      <c r="G173">
        <v>11.7</v>
      </c>
      <c r="H173">
        <v>16666667</v>
      </c>
      <c r="I173">
        <v>1</v>
      </c>
    </row>
    <row r="174" spans="1:9">
      <c r="A174">
        <v>0</v>
      </c>
      <c r="B174">
        <v>0</v>
      </c>
      <c r="C174">
        <v>60</v>
      </c>
      <c r="D174">
        <v>23.6</v>
      </c>
      <c r="E174">
        <v>8</v>
      </c>
      <c r="F174">
        <v>1</v>
      </c>
      <c r="G174">
        <v>11.7</v>
      </c>
      <c r="H174">
        <v>6276531</v>
      </c>
      <c r="I174">
        <v>1</v>
      </c>
    </row>
    <row r="175" spans="1:9">
      <c r="A175">
        <v>1</v>
      </c>
      <c r="B175">
        <v>0</v>
      </c>
      <c r="C175">
        <v>24</v>
      </c>
      <c r="D175">
        <v>17.7</v>
      </c>
      <c r="E175">
        <v>4.4000000000000004</v>
      </c>
      <c r="F175">
        <v>2.2999999999999998</v>
      </c>
      <c r="G175">
        <v>11.6</v>
      </c>
      <c r="H175">
        <v>14000000</v>
      </c>
      <c r="I175">
        <v>1</v>
      </c>
    </row>
    <row r="176" spans="1:9">
      <c r="A176">
        <v>1</v>
      </c>
      <c r="B176">
        <v>0</v>
      </c>
      <c r="C176">
        <v>76</v>
      </c>
      <c r="D176">
        <v>25.7</v>
      </c>
      <c r="E176">
        <v>5.0999999999999996</v>
      </c>
      <c r="F176">
        <v>2.5</v>
      </c>
      <c r="G176">
        <v>11.6</v>
      </c>
      <c r="H176">
        <v>6665520</v>
      </c>
      <c r="I176">
        <v>1</v>
      </c>
    </row>
    <row r="177" spans="1:9">
      <c r="A177">
        <v>0</v>
      </c>
      <c r="B177">
        <v>0</v>
      </c>
      <c r="C177">
        <v>68</v>
      </c>
      <c r="D177">
        <v>28.3</v>
      </c>
      <c r="E177">
        <v>3.3</v>
      </c>
      <c r="F177">
        <v>0.8</v>
      </c>
      <c r="G177">
        <v>11.5</v>
      </c>
      <c r="H177">
        <v>18259259</v>
      </c>
      <c r="I177">
        <v>0</v>
      </c>
    </row>
    <row r="178" spans="1:9">
      <c r="A178">
        <v>0</v>
      </c>
      <c r="B178">
        <v>0</v>
      </c>
      <c r="C178">
        <v>77</v>
      </c>
      <c r="D178">
        <v>23.4</v>
      </c>
      <c r="E178">
        <v>7.2</v>
      </c>
      <c r="F178">
        <v>2.6</v>
      </c>
      <c r="G178">
        <v>11.4</v>
      </c>
      <c r="H178">
        <v>3000000</v>
      </c>
      <c r="I178">
        <v>1</v>
      </c>
    </row>
    <row r="179" spans="1:9">
      <c r="A179">
        <v>1</v>
      </c>
      <c r="B179">
        <v>1</v>
      </c>
      <c r="C179">
        <v>70</v>
      </c>
      <c r="D179">
        <v>26.4</v>
      </c>
      <c r="E179">
        <v>3.5</v>
      </c>
      <c r="F179">
        <v>3.4</v>
      </c>
      <c r="G179">
        <v>11.4</v>
      </c>
      <c r="H179">
        <v>1955377</v>
      </c>
      <c r="I179">
        <v>0</v>
      </c>
    </row>
    <row r="180" spans="1:9">
      <c r="A180">
        <v>0</v>
      </c>
      <c r="B180">
        <v>1</v>
      </c>
      <c r="C180">
        <v>10</v>
      </c>
      <c r="D180">
        <v>21.2</v>
      </c>
      <c r="E180">
        <v>2.2000000000000002</v>
      </c>
      <c r="F180">
        <v>4.7</v>
      </c>
      <c r="G180">
        <v>11.4</v>
      </c>
      <c r="H180">
        <v>2270735</v>
      </c>
      <c r="I180">
        <v>1</v>
      </c>
    </row>
    <row r="181" spans="1:9">
      <c r="A181">
        <v>1</v>
      </c>
      <c r="B181">
        <v>0</v>
      </c>
      <c r="C181">
        <v>80</v>
      </c>
      <c r="D181">
        <v>21.9</v>
      </c>
      <c r="E181">
        <v>4.9000000000000004</v>
      </c>
      <c r="F181">
        <v>1.9</v>
      </c>
      <c r="G181">
        <v>11.2</v>
      </c>
      <c r="H181">
        <v>2461463</v>
      </c>
      <c r="I181">
        <v>0</v>
      </c>
    </row>
    <row r="182" spans="1:9">
      <c r="A182">
        <v>1</v>
      </c>
      <c r="B182">
        <v>0</v>
      </c>
      <c r="C182">
        <v>12</v>
      </c>
      <c r="D182">
        <v>24</v>
      </c>
      <c r="E182">
        <v>5.4</v>
      </c>
      <c r="F182">
        <v>2</v>
      </c>
      <c r="G182">
        <v>11.2</v>
      </c>
      <c r="H182">
        <v>15936452</v>
      </c>
      <c r="I182">
        <v>1</v>
      </c>
    </row>
    <row r="183" spans="1:9">
      <c r="A183">
        <v>0</v>
      </c>
      <c r="B183">
        <v>0</v>
      </c>
      <c r="C183">
        <v>82</v>
      </c>
      <c r="D183">
        <v>27.6</v>
      </c>
      <c r="E183">
        <v>5.8</v>
      </c>
      <c r="F183">
        <v>1.5</v>
      </c>
      <c r="G183">
        <v>11.1</v>
      </c>
      <c r="H183">
        <v>3000000</v>
      </c>
      <c r="I183">
        <v>1</v>
      </c>
    </row>
    <row r="184" spans="1:9">
      <c r="A184">
        <v>0</v>
      </c>
      <c r="B184">
        <v>1</v>
      </c>
      <c r="C184">
        <v>71</v>
      </c>
      <c r="D184">
        <v>21.2</v>
      </c>
      <c r="E184">
        <v>2.5</v>
      </c>
      <c r="F184">
        <v>1.3</v>
      </c>
      <c r="G184">
        <v>11.1</v>
      </c>
      <c r="H184">
        <v>12362338</v>
      </c>
      <c r="I184">
        <v>1</v>
      </c>
    </row>
    <row r="185" spans="1:9">
      <c r="A185">
        <v>0</v>
      </c>
      <c r="B185">
        <v>1</v>
      </c>
      <c r="C185">
        <v>72</v>
      </c>
      <c r="D185">
        <v>23.8</v>
      </c>
      <c r="E185">
        <v>2.5</v>
      </c>
      <c r="F185">
        <v>5.6</v>
      </c>
      <c r="G185">
        <v>11.1</v>
      </c>
      <c r="H185">
        <v>2537989</v>
      </c>
      <c r="I185">
        <v>1</v>
      </c>
    </row>
    <row r="186" spans="1:9">
      <c r="A186">
        <v>1</v>
      </c>
      <c r="B186">
        <v>0</v>
      </c>
      <c r="C186">
        <v>77</v>
      </c>
      <c r="D186">
        <v>22.1</v>
      </c>
      <c r="E186">
        <v>9</v>
      </c>
      <c r="F186">
        <v>0.7</v>
      </c>
      <c r="G186">
        <v>11.1</v>
      </c>
      <c r="H186">
        <v>4443360</v>
      </c>
      <c r="I186">
        <v>1</v>
      </c>
    </row>
    <row r="187" spans="1:9">
      <c r="A187">
        <v>1</v>
      </c>
      <c r="B187">
        <v>1</v>
      </c>
      <c r="C187">
        <v>4</v>
      </c>
      <c r="D187">
        <v>25.3</v>
      </c>
      <c r="E187">
        <v>6.3</v>
      </c>
      <c r="F187">
        <v>3</v>
      </c>
      <c r="G187">
        <v>11</v>
      </c>
      <c r="H187">
        <v>136717</v>
      </c>
      <c r="I187">
        <v>1</v>
      </c>
    </row>
    <row r="188" spans="1:9">
      <c r="A188">
        <v>0</v>
      </c>
      <c r="B188">
        <v>0</v>
      </c>
      <c r="C188">
        <v>76</v>
      </c>
      <c r="D188">
        <v>31.3</v>
      </c>
      <c r="E188">
        <v>11.5</v>
      </c>
      <c r="F188">
        <v>1.7</v>
      </c>
      <c r="G188">
        <v>10.9</v>
      </c>
      <c r="H188">
        <v>35000000</v>
      </c>
      <c r="I188">
        <v>0</v>
      </c>
    </row>
    <row r="189" spans="1:9">
      <c r="A189">
        <v>0</v>
      </c>
      <c r="B189">
        <v>0</v>
      </c>
      <c r="C189">
        <v>41</v>
      </c>
      <c r="D189">
        <v>26.4</v>
      </c>
      <c r="E189">
        <v>10.4</v>
      </c>
      <c r="F189">
        <v>4.8</v>
      </c>
      <c r="G189">
        <v>10.9</v>
      </c>
      <c r="H189">
        <v>19375000</v>
      </c>
      <c r="I189">
        <v>0</v>
      </c>
    </row>
    <row r="190" spans="1:9">
      <c r="A190">
        <v>1</v>
      </c>
      <c r="B190">
        <v>1</v>
      </c>
      <c r="C190">
        <v>70</v>
      </c>
      <c r="D190">
        <v>24.2</v>
      </c>
      <c r="E190">
        <v>2.7</v>
      </c>
      <c r="F190">
        <v>4.9000000000000004</v>
      </c>
      <c r="G190">
        <v>10.8</v>
      </c>
      <c r="H190">
        <v>14104000</v>
      </c>
      <c r="I190">
        <v>0</v>
      </c>
    </row>
    <row r="191" spans="1:9">
      <c r="A191">
        <v>0</v>
      </c>
      <c r="B191">
        <v>0</v>
      </c>
      <c r="C191">
        <v>12</v>
      </c>
      <c r="D191">
        <v>25.6</v>
      </c>
      <c r="E191">
        <v>4.2</v>
      </c>
      <c r="F191">
        <v>1</v>
      </c>
      <c r="G191">
        <v>10.8</v>
      </c>
      <c r="H191">
        <v>73153</v>
      </c>
      <c r="I191">
        <v>1</v>
      </c>
    </row>
    <row r="192" spans="1:9">
      <c r="A192">
        <v>0</v>
      </c>
      <c r="B192">
        <v>1</v>
      </c>
      <c r="C192">
        <v>32</v>
      </c>
      <c r="D192">
        <v>26.4</v>
      </c>
      <c r="E192">
        <v>3</v>
      </c>
      <c r="F192">
        <v>1.3</v>
      </c>
      <c r="G192">
        <v>10.8</v>
      </c>
      <c r="H192">
        <v>75000</v>
      </c>
      <c r="I192">
        <v>1</v>
      </c>
    </row>
    <row r="193" spans="1:9">
      <c r="A193">
        <v>1</v>
      </c>
      <c r="B193">
        <v>1</v>
      </c>
      <c r="C193">
        <v>82</v>
      </c>
      <c r="D193">
        <v>27.7</v>
      </c>
      <c r="E193">
        <v>3.4</v>
      </c>
      <c r="F193">
        <v>4.5999999999999996</v>
      </c>
      <c r="G193">
        <v>10.7</v>
      </c>
      <c r="H193">
        <v>4677600</v>
      </c>
      <c r="I193">
        <v>1</v>
      </c>
    </row>
    <row r="194" spans="1:9">
      <c r="A194">
        <v>1</v>
      </c>
      <c r="B194">
        <v>0</v>
      </c>
      <c r="C194">
        <v>46</v>
      </c>
      <c r="D194">
        <v>25</v>
      </c>
      <c r="E194">
        <v>7</v>
      </c>
      <c r="F194">
        <v>2</v>
      </c>
      <c r="G194">
        <v>10.7</v>
      </c>
      <c r="H194">
        <v>19500000</v>
      </c>
      <c r="I194">
        <v>0</v>
      </c>
    </row>
    <row r="195" spans="1:9">
      <c r="A195">
        <v>1</v>
      </c>
      <c r="B195">
        <v>0</v>
      </c>
      <c r="C195">
        <v>68</v>
      </c>
      <c r="D195">
        <v>22.1</v>
      </c>
      <c r="E195">
        <v>5.7</v>
      </c>
      <c r="F195">
        <v>1.7</v>
      </c>
      <c r="G195">
        <v>10.6</v>
      </c>
      <c r="H195">
        <v>2461463</v>
      </c>
      <c r="I195">
        <v>0</v>
      </c>
    </row>
    <row r="196" spans="1:9">
      <c r="A196">
        <v>0</v>
      </c>
      <c r="B196">
        <v>0</v>
      </c>
      <c r="C196">
        <v>60</v>
      </c>
      <c r="D196">
        <v>20</v>
      </c>
      <c r="E196">
        <v>6.1</v>
      </c>
      <c r="F196">
        <v>1.4</v>
      </c>
      <c r="G196">
        <v>10.5</v>
      </c>
      <c r="H196">
        <v>3080921</v>
      </c>
      <c r="I196">
        <v>1</v>
      </c>
    </row>
    <row r="197" spans="1:9">
      <c r="A197">
        <v>0</v>
      </c>
      <c r="B197">
        <v>0</v>
      </c>
      <c r="C197">
        <v>60</v>
      </c>
      <c r="D197">
        <v>25.8</v>
      </c>
      <c r="E197">
        <v>6.3</v>
      </c>
      <c r="F197">
        <v>1.5</v>
      </c>
      <c r="G197">
        <v>10.5</v>
      </c>
      <c r="H197">
        <v>5675766</v>
      </c>
      <c r="I197">
        <v>1</v>
      </c>
    </row>
    <row r="198" spans="1:9">
      <c r="A198">
        <v>0</v>
      </c>
      <c r="B198">
        <v>1</v>
      </c>
      <c r="C198">
        <v>8</v>
      </c>
      <c r="D198">
        <v>30.1</v>
      </c>
      <c r="E198">
        <v>3.1</v>
      </c>
      <c r="F198">
        <v>2.4</v>
      </c>
      <c r="G198">
        <v>10.4</v>
      </c>
      <c r="H198">
        <v>636435</v>
      </c>
      <c r="I198">
        <v>0</v>
      </c>
    </row>
    <row r="199" spans="1:9">
      <c r="A199">
        <v>1</v>
      </c>
      <c r="B199">
        <v>1</v>
      </c>
      <c r="C199">
        <v>78</v>
      </c>
      <c r="D199">
        <v>29.1</v>
      </c>
      <c r="E199">
        <v>2.7</v>
      </c>
      <c r="F199">
        <v>1.9</v>
      </c>
      <c r="G199">
        <v>10.4</v>
      </c>
      <c r="H199">
        <v>2301587</v>
      </c>
      <c r="I199">
        <v>1</v>
      </c>
    </row>
    <row r="200" spans="1:9">
      <c r="A200">
        <v>0</v>
      </c>
      <c r="B200">
        <v>1</v>
      </c>
      <c r="C200">
        <v>49</v>
      </c>
      <c r="D200">
        <v>20.7</v>
      </c>
      <c r="E200">
        <v>2.2999999999999998</v>
      </c>
      <c r="F200">
        <v>2.5</v>
      </c>
      <c r="G200">
        <v>10.4</v>
      </c>
      <c r="H200">
        <v>85300</v>
      </c>
      <c r="I200">
        <v>1</v>
      </c>
    </row>
    <row r="201" spans="1:9">
      <c r="A201">
        <v>0</v>
      </c>
      <c r="B201">
        <v>1</v>
      </c>
      <c r="C201">
        <v>7</v>
      </c>
      <c r="D201">
        <v>32</v>
      </c>
      <c r="E201">
        <v>5.4</v>
      </c>
      <c r="F201">
        <v>2.6</v>
      </c>
      <c r="G201">
        <v>10.4</v>
      </c>
      <c r="H201">
        <v>73153</v>
      </c>
      <c r="I201">
        <v>1</v>
      </c>
    </row>
    <row r="202" spans="1:9">
      <c r="A202">
        <v>1</v>
      </c>
      <c r="B202">
        <v>1</v>
      </c>
      <c r="C202">
        <v>52</v>
      </c>
      <c r="D202">
        <v>25.2</v>
      </c>
      <c r="E202">
        <v>3.2</v>
      </c>
      <c r="F202">
        <v>3.3</v>
      </c>
      <c r="G202">
        <v>10.3</v>
      </c>
      <c r="H202">
        <v>6889200</v>
      </c>
      <c r="I202">
        <v>0</v>
      </c>
    </row>
    <row r="203" spans="1:9">
      <c r="A203">
        <v>0</v>
      </c>
      <c r="B203">
        <v>1</v>
      </c>
      <c r="C203">
        <v>3</v>
      </c>
      <c r="D203">
        <v>20</v>
      </c>
      <c r="E203">
        <v>1.7</v>
      </c>
      <c r="F203">
        <v>0.3</v>
      </c>
      <c r="G203">
        <v>10.3</v>
      </c>
      <c r="H203">
        <v>165197</v>
      </c>
      <c r="I203">
        <v>1</v>
      </c>
    </row>
    <row r="204" spans="1:9">
      <c r="A204">
        <v>1</v>
      </c>
      <c r="B204">
        <v>0</v>
      </c>
      <c r="C204">
        <v>74</v>
      </c>
      <c r="D204">
        <v>22.1</v>
      </c>
      <c r="E204">
        <v>2.9</v>
      </c>
      <c r="F204">
        <v>2</v>
      </c>
      <c r="G204">
        <v>10.3</v>
      </c>
      <c r="H204">
        <v>3512520</v>
      </c>
      <c r="I204">
        <v>0</v>
      </c>
    </row>
    <row r="205" spans="1:9">
      <c r="A205">
        <v>0</v>
      </c>
      <c r="B205">
        <v>0</v>
      </c>
      <c r="C205">
        <v>63</v>
      </c>
      <c r="D205">
        <v>22.8</v>
      </c>
      <c r="E205">
        <v>3.7</v>
      </c>
      <c r="F205">
        <v>2.8</v>
      </c>
      <c r="G205">
        <v>10.199999999999999</v>
      </c>
      <c r="H205">
        <v>33296296</v>
      </c>
      <c r="I205">
        <v>1</v>
      </c>
    </row>
    <row r="206" spans="1:9">
      <c r="A206">
        <v>1</v>
      </c>
      <c r="B206">
        <v>0</v>
      </c>
      <c r="C206">
        <v>76</v>
      </c>
      <c r="D206">
        <v>25.3</v>
      </c>
      <c r="E206">
        <v>8.4</v>
      </c>
      <c r="F206">
        <v>1.7</v>
      </c>
      <c r="G206">
        <v>10.199999999999999</v>
      </c>
      <c r="H206">
        <v>2349578</v>
      </c>
      <c r="I206">
        <v>0</v>
      </c>
    </row>
    <row r="207" spans="1:9">
      <c r="A207">
        <v>1</v>
      </c>
      <c r="B207">
        <v>1</v>
      </c>
      <c r="C207">
        <v>26</v>
      </c>
      <c r="D207">
        <v>19</v>
      </c>
      <c r="E207">
        <v>2.2999999999999998</v>
      </c>
      <c r="F207">
        <v>4</v>
      </c>
      <c r="G207">
        <v>10.199999999999999</v>
      </c>
      <c r="H207">
        <v>5685000</v>
      </c>
      <c r="I207">
        <v>1</v>
      </c>
    </row>
    <row r="208" spans="1:9">
      <c r="A208">
        <v>1</v>
      </c>
      <c r="B208">
        <v>0</v>
      </c>
      <c r="C208">
        <v>53</v>
      </c>
      <c r="D208">
        <v>20.7</v>
      </c>
      <c r="E208">
        <v>6.7</v>
      </c>
      <c r="F208">
        <v>1.2</v>
      </c>
      <c r="G208">
        <v>10.199999999999999</v>
      </c>
      <c r="H208">
        <v>9000000</v>
      </c>
      <c r="I208">
        <v>1</v>
      </c>
    </row>
    <row r="209" spans="1:9">
      <c r="A209">
        <v>1</v>
      </c>
      <c r="B209">
        <v>0</v>
      </c>
      <c r="C209">
        <v>56</v>
      </c>
      <c r="D209">
        <v>22.9</v>
      </c>
      <c r="E209">
        <v>2.4</v>
      </c>
      <c r="F209">
        <v>1.1000000000000001</v>
      </c>
      <c r="G209">
        <v>10.199999999999999</v>
      </c>
      <c r="H209">
        <v>6250000</v>
      </c>
      <c r="I209">
        <v>1</v>
      </c>
    </row>
    <row r="210" spans="1:9">
      <c r="A210">
        <v>0</v>
      </c>
      <c r="B210">
        <v>0</v>
      </c>
      <c r="C210">
        <v>73</v>
      </c>
      <c r="D210">
        <v>23.9</v>
      </c>
      <c r="E210">
        <v>6.7</v>
      </c>
      <c r="F210">
        <v>1.4</v>
      </c>
      <c r="G210">
        <v>10.1</v>
      </c>
      <c r="H210">
        <v>2453285</v>
      </c>
      <c r="I210">
        <v>0</v>
      </c>
    </row>
    <row r="211" spans="1:9">
      <c r="A211">
        <v>0</v>
      </c>
      <c r="B211">
        <v>0</v>
      </c>
      <c r="C211">
        <v>50</v>
      </c>
      <c r="D211">
        <v>27</v>
      </c>
      <c r="E211">
        <v>3.5</v>
      </c>
      <c r="F211">
        <v>1.4</v>
      </c>
      <c r="G211">
        <v>10.1</v>
      </c>
      <c r="H211">
        <v>10000000</v>
      </c>
      <c r="I211">
        <v>1</v>
      </c>
    </row>
    <row r="212" spans="1:9">
      <c r="A212">
        <v>1</v>
      </c>
      <c r="B212">
        <v>0</v>
      </c>
      <c r="C212">
        <v>69</v>
      </c>
      <c r="D212">
        <v>22.4</v>
      </c>
      <c r="E212">
        <v>3.5</v>
      </c>
      <c r="F212">
        <v>2.6</v>
      </c>
      <c r="G212">
        <v>10</v>
      </c>
      <c r="H212">
        <v>17991071</v>
      </c>
      <c r="I212">
        <v>1</v>
      </c>
    </row>
    <row r="213" spans="1:9">
      <c r="A213">
        <v>0</v>
      </c>
      <c r="B213">
        <v>0</v>
      </c>
      <c r="C213">
        <v>60</v>
      </c>
      <c r="D213">
        <v>22.1</v>
      </c>
      <c r="E213">
        <v>3</v>
      </c>
      <c r="F213">
        <v>2.2999999999999998</v>
      </c>
      <c r="G213">
        <v>10</v>
      </c>
      <c r="H213">
        <v>712637</v>
      </c>
      <c r="I213">
        <v>1</v>
      </c>
    </row>
    <row r="214" spans="1:9">
      <c r="A214">
        <v>0</v>
      </c>
      <c r="B214">
        <v>1</v>
      </c>
      <c r="C214">
        <v>6</v>
      </c>
      <c r="D214">
        <v>36.200000000000003</v>
      </c>
      <c r="E214">
        <v>3.5</v>
      </c>
      <c r="F214">
        <v>1</v>
      </c>
      <c r="G214">
        <v>10</v>
      </c>
      <c r="H214">
        <v>73153</v>
      </c>
      <c r="I214">
        <v>1</v>
      </c>
    </row>
    <row r="215" spans="1:9">
      <c r="A215">
        <v>0</v>
      </c>
      <c r="B215">
        <v>0</v>
      </c>
      <c r="C215">
        <v>53</v>
      </c>
      <c r="D215">
        <v>18.600000000000001</v>
      </c>
      <c r="E215">
        <v>3.5</v>
      </c>
      <c r="F215">
        <v>1</v>
      </c>
      <c r="G215">
        <v>10</v>
      </c>
      <c r="H215">
        <v>527879</v>
      </c>
      <c r="I215">
        <v>0</v>
      </c>
    </row>
    <row r="216" spans="1:9">
      <c r="A216">
        <v>1</v>
      </c>
      <c r="B216">
        <v>0</v>
      </c>
      <c r="C216">
        <v>58</v>
      </c>
      <c r="D216">
        <v>22.7</v>
      </c>
      <c r="E216">
        <v>5</v>
      </c>
      <c r="F216">
        <v>1.1000000000000001</v>
      </c>
      <c r="G216">
        <v>10</v>
      </c>
      <c r="H216">
        <v>15000000</v>
      </c>
      <c r="I216">
        <v>1</v>
      </c>
    </row>
    <row r="217" spans="1:9">
      <c r="A217">
        <v>0</v>
      </c>
      <c r="B217">
        <v>0</v>
      </c>
      <c r="C217">
        <v>77</v>
      </c>
      <c r="D217">
        <v>25.8</v>
      </c>
      <c r="E217">
        <v>2.8</v>
      </c>
      <c r="F217">
        <v>1.9</v>
      </c>
      <c r="G217">
        <v>9.9</v>
      </c>
      <c r="H217">
        <v>19000000</v>
      </c>
      <c r="I217">
        <v>1</v>
      </c>
    </row>
    <row r="218" spans="1:9">
      <c r="A218">
        <v>1</v>
      </c>
      <c r="B218">
        <v>0</v>
      </c>
      <c r="C218">
        <v>77</v>
      </c>
      <c r="D218">
        <v>24.7</v>
      </c>
      <c r="E218">
        <v>3.7</v>
      </c>
      <c r="F218">
        <v>1.6</v>
      </c>
      <c r="G218">
        <v>9.9</v>
      </c>
      <c r="H218">
        <v>3809520</v>
      </c>
      <c r="I218">
        <v>0</v>
      </c>
    </row>
    <row r="219" spans="1:9">
      <c r="A219">
        <v>1</v>
      </c>
      <c r="B219">
        <v>0</v>
      </c>
      <c r="C219">
        <v>73</v>
      </c>
      <c r="D219">
        <v>26</v>
      </c>
      <c r="E219">
        <v>5.7</v>
      </c>
      <c r="F219">
        <v>3.1</v>
      </c>
      <c r="G219">
        <v>9.9</v>
      </c>
      <c r="H219">
        <v>8775000</v>
      </c>
      <c r="I219">
        <v>1</v>
      </c>
    </row>
    <row r="220" spans="1:9">
      <c r="A220">
        <v>0</v>
      </c>
      <c r="B220">
        <v>0</v>
      </c>
      <c r="C220">
        <v>78</v>
      </c>
      <c r="D220">
        <v>28.4</v>
      </c>
      <c r="E220">
        <v>4.8</v>
      </c>
      <c r="F220">
        <v>2.7</v>
      </c>
      <c r="G220">
        <v>9.8000000000000007</v>
      </c>
      <c r="H220">
        <v>10125000</v>
      </c>
      <c r="I220">
        <v>1</v>
      </c>
    </row>
    <row r="221" spans="1:9">
      <c r="A221">
        <v>1</v>
      </c>
      <c r="B221">
        <v>0</v>
      </c>
      <c r="C221">
        <v>10</v>
      </c>
      <c r="D221">
        <v>18.399999999999999</v>
      </c>
      <c r="E221">
        <v>5.6</v>
      </c>
      <c r="F221">
        <v>1.5</v>
      </c>
      <c r="G221">
        <v>9.6999999999999993</v>
      </c>
      <c r="H221">
        <v>18080496</v>
      </c>
      <c r="I221">
        <v>1</v>
      </c>
    </row>
    <row r="222" spans="1:9">
      <c r="A222">
        <v>1</v>
      </c>
      <c r="B222">
        <v>0</v>
      </c>
      <c r="C222">
        <v>47</v>
      </c>
      <c r="D222">
        <v>19.3</v>
      </c>
      <c r="E222">
        <v>5</v>
      </c>
      <c r="F222">
        <v>1.5</v>
      </c>
      <c r="G222">
        <v>9.6999999999999993</v>
      </c>
      <c r="H222">
        <v>1527805</v>
      </c>
      <c r="I222">
        <v>1</v>
      </c>
    </row>
    <row r="223" spans="1:9">
      <c r="A223">
        <v>0</v>
      </c>
      <c r="B223">
        <v>1</v>
      </c>
      <c r="C223">
        <v>41</v>
      </c>
      <c r="D223">
        <v>20.2</v>
      </c>
      <c r="E223">
        <v>3.1</v>
      </c>
      <c r="F223">
        <v>3.7</v>
      </c>
      <c r="G223">
        <v>9.6999999999999993</v>
      </c>
      <c r="H223">
        <v>636435</v>
      </c>
      <c r="I223">
        <v>1</v>
      </c>
    </row>
    <row r="224" spans="1:9">
      <c r="A224">
        <v>1</v>
      </c>
      <c r="B224">
        <v>0</v>
      </c>
      <c r="C224">
        <v>67</v>
      </c>
      <c r="D224">
        <v>22.4</v>
      </c>
      <c r="E224">
        <v>3.8</v>
      </c>
      <c r="F224">
        <v>1.1000000000000001</v>
      </c>
      <c r="G224">
        <v>9.6</v>
      </c>
      <c r="H224">
        <v>13197720</v>
      </c>
      <c r="I224">
        <v>0</v>
      </c>
    </row>
    <row r="225" spans="1:9">
      <c r="A225">
        <v>0</v>
      </c>
      <c r="B225">
        <v>0</v>
      </c>
      <c r="C225">
        <v>55</v>
      </c>
      <c r="D225">
        <v>21.7</v>
      </c>
      <c r="E225">
        <v>6.9</v>
      </c>
      <c r="F225">
        <v>1.1000000000000001</v>
      </c>
      <c r="G225">
        <v>9.5</v>
      </c>
      <c r="H225">
        <v>14386320</v>
      </c>
      <c r="I225">
        <v>1</v>
      </c>
    </row>
    <row r="226" spans="1:9">
      <c r="A226">
        <v>1</v>
      </c>
      <c r="B226">
        <v>0</v>
      </c>
      <c r="C226">
        <v>82</v>
      </c>
      <c r="D226">
        <v>21</v>
      </c>
      <c r="E226">
        <v>4</v>
      </c>
      <c r="F226">
        <v>1.5</v>
      </c>
      <c r="G226">
        <v>9.5</v>
      </c>
      <c r="H226">
        <v>2349578</v>
      </c>
      <c r="I226">
        <v>1</v>
      </c>
    </row>
    <row r="227" spans="1:9">
      <c r="A227">
        <v>1</v>
      </c>
      <c r="B227">
        <v>1</v>
      </c>
      <c r="C227">
        <v>56</v>
      </c>
      <c r="D227">
        <v>17.2</v>
      </c>
      <c r="E227">
        <v>2.2000000000000002</v>
      </c>
      <c r="F227">
        <v>5.0999999999999996</v>
      </c>
      <c r="G227">
        <v>9.4</v>
      </c>
      <c r="H227">
        <v>10200000</v>
      </c>
      <c r="I227">
        <v>1</v>
      </c>
    </row>
    <row r="228" spans="1:9">
      <c r="A228">
        <v>0</v>
      </c>
      <c r="B228">
        <v>0</v>
      </c>
      <c r="C228">
        <v>50</v>
      </c>
      <c r="D228">
        <v>23.1</v>
      </c>
      <c r="E228">
        <v>2.5</v>
      </c>
      <c r="F228">
        <v>1.9</v>
      </c>
      <c r="G228">
        <v>9.4</v>
      </c>
      <c r="H228">
        <v>3675000</v>
      </c>
      <c r="I228">
        <v>0</v>
      </c>
    </row>
    <row r="229" spans="1:9">
      <c r="A229">
        <v>0</v>
      </c>
      <c r="B229">
        <v>1</v>
      </c>
      <c r="C229">
        <v>65</v>
      </c>
      <c r="D229">
        <v>21.8</v>
      </c>
      <c r="E229">
        <v>3.1</v>
      </c>
      <c r="F229">
        <v>1.7</v>
      </c>
      <c r="G229">
        <v>9.4</v>
      </c>
      <c r="H229">
        <v>9672897</v>
      </c>
      <c r="I229">
        <v>1</v>
      </c>
    </row>
    <row r="230" spans="1:9">
      <c r="A230">
        <v>1</v>
      </c>
      <c r="B230">
        <v>1</v>
      </c>
      <c r="C230">
        <v>72</v>
      </c>
      <c r="D230">
        <v>20.2</v>
      </c>
      <c r="E230">
        <v>2.2999999999999998</v>
      </c>
      <c r="F230">
        <v>3.9</v>
      </c>
      <c r="G230">
        <v>9.3000000000000007</v>
      </c>
      <c r="H230">
        <v>3809524</v>
      </c>
      <c r="I230">
        <v>1</v>
      </c>
    </row>
    <row r="231" spans="1:9">
      <c r="A231">
        <v>1</v>
      </c>
      <c r="B231">
        <v>1</v>
      </c>
      <c r="C231">
        <v>70</v>
      </c>
      <c r="D231">
        <v>28.6</v>
      </c>
      <c r="E231">
        <v>2.7</v>
      </c>
      <c r="F231">
        <v>6.5</v>
      </c>
      <c r="G231">
        <v>9.3000000000000007</v>
      </c>
      <c r="H231">
        <v>11600000</v>
      </c>
      <c r="I231">
        <v>1</v>
      </c>
    </row>
    <row r="232" spans="1:9">
      <c r="A232">
        <v>1</v>
      </c>
      <c r="B232">
        <v>1</v>
      </c>
      <c r="C232">
        <v>63</v>
      </c>
      <c r="D232">
        <v>26.9</v>
      </c>
      <c r="E232">
        <v>2.7</v>
      </c>
      <c r="F232">
        <v>1.6</v>
      </c>
      <c r="G232">
        <v>9.3000000000000007</v>
      </c>
      <c r="H232">
        <v>11000000</v>
      </c>
      <c r="I232">
        <v>1</v>
      </c>
    </row>
    <row r="233" spans="1:9">
      <c r="A233">
        <v>1</v>
      </c>
      <c r="B233">
        <v>1</v>
      </c>
      <c r="C233">
        <v>51</v>
      </c>
      <c r="D233">
        <v>23</v>
      </c>
      <c r="E233">
        <v>1.8</v>
      </c>
      <c r="F233">
        <v>1.4</v>
      </c>
      <c r="G233">
        <v>9.3000000000000007</v>
      </c>
      <c r="H233">
        <v>3080921</v>
      </c>
      <c r="I233">
        <v>1</v>
      </c>
    </row>
    <row r="234" spans="1:9">
      <c r="A234">
        <v>0</v>
      </c>
      <c r="B234">
        <v>1</v>
      </c>
      <c r="C234">
        <v>62</v>
      </c>
      <c r="D234">
        <v>28.5</v>
      </c>
      <c r="E234">
        <v>2.8</v>
      </c>
      <c r="F234">
        <v>3</v>
      </c>
      <c r="G234">
        <v>9.3000000000000007</v>
      </c>
      <c r="H234">
        <v>5134000</v>
      </c>
      <c r="I234">
        <v>1</v>
      </c>
    </row>
    <row r="235" spans="1:9">
      <c r="A235">
        <v>1</v>
      </c>
      <c r="B235">
        <v>1</v>
      </c>
      <c r="C235">
        <v>57</v>
      </c>
      <c r="D235">
        <v>15.8</v>
      </c>
      <c r="E235">
        <v>1.5</v>
      </c>
      <c r="F235">
        <v>1</v>
      </c>
      <c r="G235">
        <v>9.1999999999999993</v>
      </c>
      <c r="H235">
        <v>6000000</v>
      </c>
      <c r="I235">
        <v>1</v>
      </c>
    </row>
    <row r="236" spans="1:9">
      <c r="A236">
        <v>0</v>
      </c>
      <c r="B236">
        <v>0</v>
      </c>
      <c r="C236">
        <v>47</v>
      </c>
      <c r="D236">
        <v>24.2</v>
      </c>
      <c r="E236">
        <v>9.4</v>
      </c>
      <c r="F236">
        <v>3.5</v>
      </c>
      <c r="G236">
        <v>9.1999999999999993</v>
      </c>
      <c r="H236">
        <v>28500000</v>
      </c>
      <c r="I236">
        <v>0</v>
      </c>
    </row>
    <row r="237" spans="1:9">
      <c r="A237">
        <v>1</v>
      </c>
      <c r="B237">
        <v>0</v>
      </c>
      <c r="C237">
        <v>78</v>
      </c>
      <c r="D237">
        <v>24.8</v>
      </c>
      <c r="E237">
        <v>3.8</v>
      </c>
      <c r="F237">
        <v>1.5</v>
      </c>
      <c r="G237">
        <v>9.1999999999999993</v>
      </c>
      <c r="H237">
        <v>10044644</v>
      </c>
      <c r="I237">
        <v>1</v>
      </c>
    </row>
    <row r="238" spans="1:9">
      <c r="A238">
        <v>1</v>
      </c>
      <c r="B238">
        <v>0</v>
      </c>
      <c r="C238">
        <v>58</v>
      </c>
      <c r="D238">
        <v>18.600000000000001</v>
      </c>
      <c r="E238">
        <v>2.2999999999999998</v>
      </c>
      <c r="F238">
        <v>1.6</v>
      </c>
      <c r="G238">
        <v>9.1999999999999993</v>
      </c>
      <c r="H238">
        <v>13975000</v>
      </c>
      <c r="I238">
        <v>1</v>
      </c>
    </row>
    <row r="239" spans="1:9">
      <c r="A239">
        <v>1</v>
      </c>
      <c r="B239">
        <v>0</v>
      </c>
      <c r="C239">
        <v>26</v>
      </c>
      <c r="D239">
        <v>23.5</v>
      </c>
      <c r="E239">
        <v>3.1</v>
      </c>
      <c r="F239">
        <v>1.8</v>
      </c>
      <c r="G239">
        <v>9.1999999999999993</v>
      </c>
      <c r="H239">
        <v>3303774</v>
      </c>
      <c r="I239">
        <v>1</v>
      </c>
    </row>
    <row r="240" spans="1:9">
      <c r="A240">
        <v>0</v>
      </c>
      <c r="B240">
        <v>0</v>
      </c>
      <c r="C240">
        <v>68</v>
      </c>
      <c r="D240">
        <v>20.5</v>
      </c>
      <c r="E240">
        <v>3.9</v>
      </c>
      <c r="F240">
        <v>2.2999999999999998</v>
      </c>
      <c r="G240">
        <v>9.1999999999999993</v>
      </c>
      <c r="H240">
        <v>2221677</v>
      </c>
      <c r="I240">
        <v>0</v>
      </c>
    </row>
    <row r="241" spans="1:9">
      <c r="A241">
        <v>1</v>
      </c>
      <c r="B241">
        <v>0</v>
      </c>
      <c r="C241">
        <v>21</v>
      </c>
      <c r="D241">
        <v>16.899999999999999</v>
      </c>
      <c r="E241">
        <v>2.8</v>
      </c>
      <c r="F241">
        <v>0.7</v>
      </c>
      <c r="G241">
        <v>9.1999999999999993</v>
      </c>
      <c r="H241">
        <v>3539760</v>
      </c>
      <c r="I241">
        <v>1</v>
      </c>
    </row>
    <row r="242" spans="1:9">
      <c r="A242">
        <v>1</v>
      </c>
      <c r="B242">
        <v>1</v>
      </c>
      <c r="C242">
        <v>49</v>
      </c>
      <c r="D242">
        <v>18.3</v>
      </c>
      <c r="E242">
        <v>2.2999999999999998</v>
      </c>
      <c r="F242">
        <v>2.9</v>
      </c>
      <c r="G242">
        <v>9.1</v>
      </c>
      <c r="H242">
        <v>601553</v>
      </c>
      <c r="I242">
        <v>1</v>
      </c>
    </row>
    <row r="243" spans="1:9">
      <c r="A243">
        <v>1</v>
      </c>
      <c r="B243">
        <v>0</v>
      </c>
      <c r="C243">
        <v>49</v>
      </c>
      <c r="D243">
        <v>13.7</v>
      </c>
      <c r="E243">
        <v>3</v>
      </c>
      <c r="F243">
        <v>1.1000000000000001</v>
      </c>
      <c r="G243">
        <v>9</v>
      </c>
      <c r="H243">
        <v>2857143</v>
      </c>
      <c r="I243">
        <v>0</v>
      </c>
    </row>
    <row r="244" spans="1:9">
      <c r="A244">
        <v>0</v>
      </c>
      <c r="B244">
        <v>1</v>
      </c>
      <c r="C244">
        <v>38</v>
      </c>
      <c r="D244">
        <v>18.399999999999999</v>
      </c>
      <c r="E244">
        <v>3.3</v>
      </c>
      <c r="F244">
        <v>2.7</v>
      </c>
      <c r="G244">
        <v>8.9</v>
      </c>
      <c r="H244">
        <v>4923720</v>
      </c>
      <c r="I244">
        <v>1</v>
      </c>
    </row>
    <row r="245" spans="1:9">
      <c r="A245">
        <v>0</v>
      </c>
      <c r="B245">
        <v>0</v>
      </c>
      <c r="C245">
        <v>56</v>
      </c>
      <c r="D245">
        <v>28.4</v>
      </c>
      <c r="E245">
        <v>3.4</v>
      </c>
      <c r="F245">
        <v>2.8</v>
      </c>
      <c r="G245">
        <v>8.9</v>
      </c>
      <c r="H245">
        <v>13937574</v>
      </c>
      <c r="I245">
        <v>1</v>
      </c>
    </row>
    <row r="246" spans="1:9">
      <c r="A246">
        <v>1</v>
      </c>
      <c r="B246">
        <v>1</v>
      </c>
      <c r="C246">
        <v>56</v>
      </c>
      <c r="D246">
        <v>22.2</v>
      </c>
      <c r="E246">
        <v>1.8</v>
      </c>
      <c r="F246">
        <v>3.8</v>
      </c>
      <c r="G246">
        <v>8.9</v>
      </c>
      <c r="H246">
        <v>3811560</v>
      </c>
      <c r="I246">
        <v>0</v>
      </c>
    </row>
    <row r="247" spans="1:9">
      <c r="A247">
        <v>1</v>
      </c>
      <c r="B247">
        <v>0</v>
      </c>
      <c r="C247">
        <v>57</v>
      </c>
      <c r="D247">
        <v>20.8</v>
      </c>
      <c r="E247">
        <v>4.9000000000000004</v>
      </c>
      <c r="F247">
        <v>2.2000000000000002</v>
      </c>
      <c r="G247">
        <v>8.9</v>
      </c>
      <c r="H247">
        <v>2801280</v>
      </c>
      <c r="I247">
        <v>1</v>
      </c>
    </row>
    <row r="248" spans="1:9">
      <c r="A248">
        <v>0</v>
      </c>
      <c r="B248">
        <v>1</v>
      </c>
      <c r="C248">
        <v>13</v>
      </c>
      <c r="D248">
        <v>19.5</v>
      </c>
      <c r="E248">
        <v>2.2999999999999998</v>
      </c>
      <c r="F248">
        <v>0.8</v>
      </c>
      <c r="G248">
        <v>8.8000000000000007</v>
      </c>
      <c r="H248">
        <v>157280</v>
      </c>
      <c r="I248">
        <v>1</v>
      </c>
    </row>
    <row r="249" spans="1:9">
      <c r="A249">
        <v>0</v>
      </c>
      <c r="B249">
        <v>0</v>
      </c>
      <c r="C249">
        <v>4</v>
      </c>
      <c r="D249">
        <v>15.8</v>
      </c>
      <c r="E249">
        <v>2.5</v>
      </c>
      <c r="F249">
        <v>0</v>
      </c>
      <c r="G249">
        <v>8.8000000000000007</v>
      </c>
      <c r="H249">
        <v>153622</v>
      </c>
      <c r="I249">
        <v>1</v>
      </c>
    </row>
    <row r="250" spans="1:9">
      <c r="A250">
        <v>0</v>
      </c>
      <c r="B250">
        <v>1</v>
      </c>
      <c r="C250">
        <v>67</v>
      </c>
      <c r="D250">
        <v>24.3</v>
      </c>
      <c r="E250">
        <v>3</v>
      </c>
      <c r="F250">
        <v>2</v>
      </c>
      <c r="G250">
        <v>8.8000000000000007</v>
      </c>
      <c r="H250">
        <v>5742480</v>
      </c>
      <c r="I250">
        <v>1</v>
      </c>
    </row>
    <row r="251" spans="1:9">
      <c r="A251">
        <v>1</v>
      </c>
      <c r="B251">
        <v>0</v>
      </c>
      <c r="C251">
        <v>69</v>
      </c>
      <c r="D251">
        <v>20</v>
      </c>
      <c r="E251">
        <v>5.6</v>
      </c>
      <c r="F251">
        <v>1.2</v>
      </c>
      <c r="G251">
        <v>8.6999999999999993</v>
      </c>
      <c r="H251">
        <v>2349578</v>
      </c>
      <c r="I251">
        <v>1</v>
      </c>
    </row>
    <row r="252" spans="1:9">
      <c r="A252">
        <v>0</v>
      </c>
      <c r="B252">
        <v>1</v>
      </c>
      <c r="C252">
        <v>70</v>
      </c>
      <c r="D252">
        <v>22.5</v>
      </c>
      <c r="E252">
        <v>4.9000000000000004</v>
      </c>
      <c r="F252">
        <v>2.2000000000000002</v>
      </c>
      <c r="G252">
        <v>8.6999999999999993</v>
      </c>
      <c r="H252">
        <v>2349578</v>
      </c>
      <c r="I252">
        <v>1</v>
      </c>
    </row>
    <row r="253" spans="1:9">
      <c r="A253">
        <v>1</v>
      </c>
      <c r="B253">
        <v>0</v>
      </c>
      <c r="C253">
        <v>62</v>
      </c>
      <c r="D253">
        <v>18.7</v>
      </c>
      <c r="E253">
        <v>6.7</v>
      </c>
      <c r="F253">
        <v>2.2999999999999998</v>
      </c>
      <c r="G253">
        <v>8.6999999999999993</v>
      </c>
      <c r="H253">
        <v>6250000</v>
      </c>
      <c r="I253">
        <v>1</v>
      </c>
    </row>
    <row r="254" spans="1:9">
      <c r="A254">
        <v>0</v>
      </c>
      <c r="B254">
        <v>0</v>
      </c>
      <c r="C254">
        <v>65</v>
      </c>
      <c r="D254">
        <v>13.4</v>
      </c>
      <c r="E254">
        <v>5.0999999999999996</v>
      </c>
      <c r="F254">
        <v>1.2</v>
      </c>
      <c r="G254">
        <v>8.6999999999999993</v>
      </c>
      <c r="H254">
        <v>10395000</v>
      </c>
      <c r="I254">
        <v>0</v>
      </c>
    </row>
    <row r="255" spans="1:9">
      <c r="A255">
        <v>1</v>
      </c>
      <c r="B255">
        <v>1</v>
      </c>
      <c r="C255">
        <v>72</v>
      </c>
      <c r="D255">
        <v>17.8</v>
      </c>
      <c r="E255">
        <v>1.8</v>
      </c>
      <c r="F255">
        <v>1.3</v>
      </c>
      <c r="G255">
        <v>8.6</v>
      </c>
      <c r="H255">
        <v>3634153</v>
      </c>
      <c r="I255">
        <v>1</v>
      </c>
    </row>
    <row r="256" spans="1:9">
      <c r="A256">
        <v>0</v>
      </c>
      <c r="B256">
        <v>1</v>
      </c>
      <c r="C256">
        <v>75</v>
      </c>
      <c r="D256">
        <v>25.1</v>
      </c>
      <c r="E256">
        <v>3.8</v>
      </c>
      <c r="F256">
        <v>2.4</v>
      </c>
      <c r="G256">
        <v>8.6</v>
      </c>
      <c r="H256">
        <v>3108120</v>
      </c>
      <c r="I256">
        <v>1</v>
      </c>
    </row>
    <row r="257" spans="1:9">
      <c r="A257">
        <v>0</v>
      </c>
      <c r="B257">
        <v>1</v>
      </c>
      <c r="C257">
        <v>77</v>
      </c>
      <c r="D257">
        <v>26.6</v>
      </c>
      <c r="E257">
        <v>3.1</v>
      </c>
      <c r="F257">
        <v>2.6</v>
      </c>
      <c r="G257">
        <v>8.6</v>
      </c>
      <c r="H257">
        <v>5820240</v>
      </c>
      <c r="I257">
        <v>1</v>
      </c>
    </row>
    <row r="258" spans="1:9">
      <c r="A258">
        <v>0</v>
      </c>
      <c r="B258">
        <v>1</v>
      </c>
      <c r="C258">
        <v>65</v>
      </c>
      <c r="D258">
        <v>21.4</v>
      </c>
      <c r="E258">
        <v>2.2999999999999998</v>
      </c>
      <c r="F258">
        <v>1.5</v>
      </c>
      <c r="G258">
        <v>8.5</v>
      </c>
      <c r="H258">
        <v>2349578</v>
      </c>
      <c r="I258">
        <v>0</v>
      </c>
    </row>
    <row r="259" spans="1:9">
      <c r="A259">
        <v>1</v>
      </c>
      <c r="B259">
        <v>0</v>
      </c>
      <c r="C259">
        <v>70</v>
      </c>
      <c r="D259">
        <v>16.8</v>
      </c>
      <c r="E259">
        <v>3</v>
      </c>
      <c r="F259">
        <v>1.4</v>
      </c>
      <c r="G259">
        <v>8.5</v>
      </c>
      <c r="H259">
        <v>8307692</v>
      </c>
      <c r="I259">
        <v>0</v>
      </c>
    </row>
    <row r="260" spans="1:9">
      <c r="A260">
        <v>0</v>
      </c>
      <c r="B260">
        <v>1</v>
      </c>
      <c r="C260">
        <v>71</v>
      </c>
      <c r="D260">
        <v>16.600000000000001</v>
      </c>
      <c r="E260">
        <v>1.8</v>
      </c>
      <c r="F260">
        <v>2.6</v>
      </c>
      <c r="G260">
        <v>8.5</v>
      </c>
      <c r="H260">
        <v>2461463</v>
      </c>
      <c r="I260">
        <v>1</v>
      </c>
    </row>
    <row r="261" spans="1:9">
      <c r="A261">
        <v>0</v>
      </c>
      <c r="B261">
        <v>0</v>
      </c>
      <c r="C261">
        <v>75</v>
      </c>
      <c r="D261">
        <v>21.8</v>
      </c>
      <c r="E261">
        <v>3.6</v>
      </c>
      <c r="F261">
        <v>1.3</v>
      </c>
      <c r="G261">
        <v>8.5</v>
      </c>
      <c r="H261">
        <v>8750000</v>
      </c>
      <c r="I261">
        <v>1</v>
      </c>
    </row>
    <row r="262" spans="1:9">
      <c r="A262">
        <v>1</v>
      </c>
      <c r="B262">
        <v>0</v>
      </c>
      <c r="C262">
        <v>57</v>
      </c>
      <c r="D262">
        <v>21.9</v>
      </c>
      <c r="E262">
        <v>5</v>
      </c>
      <c r="F262">
        <v>1.9</v>
      </c>
      <c r="G262">
        <v>8.5</v>
      </c>
      <c r="H262">
        <v>6332520</v>
      </c>
      <c r="I262">
        <v>1</v>
      </c>
    </row>
    <row r="263" spans="1:9">
      <c r="A263">
        <v>0</v>
      </c>
      <c r="B263">
        <v>1</v>
      </c>
      <c r="C263">
        <v>78</v>
      </c>
      <c r="D263">
        <v>21.6</v>
      </c>
      <c r="E263">
        <v>2.2999999999999998</v>
      </c>
      <c r="F263">
        <v>2.2000000000000002</v>
      </c>
      <c r="G263">
        <v>8.4</v>
      </c>
      <c r="H263">
        <v>11000000</v>
      </c>
      <c r="I263">
        <v>1</v>
      </c>
    </row>
    <row r="264" spans="1:9">
      <c r="A264">
        <v>0</v>
      </c>
      <c r="B264">
        <v>1</v>
      </c>
      <c r="C264">
        <v>51</v>
      </c>
      <c r="D264">
        <v>21.3</v>
      </c>
      <c r="E264">
        <v>2.5</v>
      </c>
      <c r="F264">
        <v>2.7</v>
      </c>
      <c r="G264">
        <v>8.4</v>
      </c>
      <c r="H264">
        <v>21621500</v>
      </c>
      <c r="I264">
        <v>1</v>
      </c>
    </row>
    <row r="265" spans="1:9">
      <c r="A265">
        <v>0</v>
      </c>
      <c r="B265">
        <v>0</v>
      </c>
      <c r="C265">
        <v>68</v>
      </c>
      <c r="D265">
        <v>27.5</v>
      </c>
      <c r="E265">
        <v>5.5</v>
      </c>
      <c r="F265">
        <v>5.5</v>
      </c>
      <c r="G265">
        <v>8.4</v>
      </c>
      <c r="H265">
        <v>25892857</v>
      </c>
      <c r="I265">
        <v>1</v>
      </c>
    </row>
    <row r="266" spans="1:9">
      <c r="A266">
        <v>0</v>
      </c>
      <c r="B266">
        <v>1</v>
      </c>
      <c r="C266">
        <v>67</v>
      </c>
      <c r="D266">
        <v>17.3</v>
      </c>
      <c r="E266">
        <v>2</v>
      </c>
      <c r="F266">
        <v>1.3</v>
      </c>
      <c r="G266">
        <v>8.3000000000000007</v>
      </c>
      <c r="H266">
        <v>4221360</v>
      </c>
      <c r="I266">
        <v>1</v>
      </c>
    </row>
    <row r="267" spans="1:9">
      <c r="A267">
        <v>0</v>
      </c>
      <c r="B267">
        <v>0</v>
      </c>
      <c r="C267">
        <v>69</v>
      </c>
      <c r="D267">
        <v>26.8</v>
      </c>
      <c r="E267">
        <v>3.6</v>
      </c>
      <c r="F267">
        <v>1.2</v>
      </c>
      <c r="G267">
        <v>8.3000000000000007</v>
      </c>
      <c r="H267">
        <v>17722222</v>
      </c>
      <c r="I267">
        <v>0</v>
      </c>
    </row>
    <row r="268" spans="1:9">
      <c r="A268">
        <v>0</v>
      </c>
      <c r="B268">
        <v>0</v>
      </c>
      <c r="C268">
        <v>45</v>
      </c>
      <c r="D268">
        <v>21.5</v>
      </c>
      <c r="E268">
        <v>4.9000000000000004</v>
      </c>
      <c r="F268">
        <v>2.6</v>
      </c>
      <c r="G268">
        <v>8.3000000000000007</v>
      </c>
      <c r="H268">
        <v>5685000</v>
      </c>
      <c r="I268">
        <v>0</v>
      </c>
    </row>
    <row r="269" spans="1:9">
      <c r="A269">
        <v>0</v>
      </c>
      <c r="B269">
        <v>0</v>
      </c>
      <c r="C269">
        <v>3</v>
      </c>
      <c r="D269">
        <v>27.3</v>
      </c>
      <c r="E269">
        <v>7.7</v>
      </c>
      <c r="F269">
        <v>1.3</v>
      </c>
      <c r="G269">
        <v>8.3000000000000007</v>
      </c>
      <c r="H269">
        <v>146307</v>
      </c>
      <c r="I269">
        <v>1</v>
      </c>
    </row>
    <row r="270" spans="1:9">
      <c r="A270">
        <v>1</v>
      </c>
      <c r="B270">
        <v>1</v>
      </c>
      <c r="C270">
        <v>3</v>
      </c>
      <c r="D270">
        <v>22.3</v>
      </c>
      <c r="E270">
        <v>3.3</v>
      </c>
      <c r="F270">
        <v>2.7</v>
      </c>
      <c r="G270">
        <v>8.3000000000000007</v>
      </c>
      <c r="H270">
        <v>73153</v>
      </c>
      <c r="I270">
        <v>1</v>
      </c>
    </row>
    <row r="271" spans="1:9">
      <c r="A271">
        <v>1</v>
      </c>
      <c r="B271">
        <v>1</v>
      </c>
      <c r="C271">
        <v>15</v>
      </c>
      <c r="D271">
        <v>23.9</v>
      </c>
      <c r="E271">
        <v>3.4</v>
      </c>
      <c r="F271">
        <v>3.3</v>
      </c>
      <c r="G271">
        <v>8.3000000000000007</v>
      </c>
      <c r="H271">
        <v>65838</v>
      </c>
      <c r="I271">
        <v>1</v>
      </c>
    </row>
    <row r="272" spans="1:9">
      <c r="A272">
        <v>0</v>
      </c>
      <c r="B272">
        <v>1</v>
      </c>
      <c r="C272">
        <v>6</v>
      </c>
      <c r="D272">
        <v>20.2</v>
      </c>
      <c r="E272">
        <v>0.8</v>
      </c>
      <c r="F272">
        <v>1.7</v>
      </c>
      <c r="G272">
        <v>8.1999999999999993</v>
      </c>
      <c r="H272">
        <v>5354000</v>
      </c>
      <c r="I272">
        <v>1</v>
      </c>
    </row>
    <row r="273" spans="1:9">
      <c r="A273">
        <v>0</v>
      </c>
      <c r="B273">
        <v>1</v>
      </c>
      <c r="C273">
        <v>18</v>
      </c>
      <c r="D273">
        <v>16.2</v>
      </c>
      <c r="E273">
        <v>1.6</v>
      </c>
      <c r="F273">
        <v>1</v>
      </c>
      <c r="G273">
        <v>8.1999999999999993</v>
      </c>
      <c r="H273">
        <v>85300</v>
      </c>
      <c r="I273">
        <v>1</v>
      </c>
    </row>
    <row r="274" spans="1:9">
      <c r="A274">
        <v>1</v>
      </c>
      <c r="B274">
        <v>0</v>
      </c>
      <c r="C274">
        <v>78</v>
      </c>
      <c r="D274">
        <v>19.899999999999999</v>
      </c>
      <c r="E274">
        <v>4</v>
      </c>
      <c r="F274">
        <v>1.2</v>
      </c>
      <c r="G274">
        <v>8.1999999999999993</v>
      </c>
      <c r="H274">
        <v>8657280</v>
      </c>
      <c r="I274">
        <v>1</v>
      </c>
    </row>
    <row r="275" spans="1:9">
      <c r="A275">
        <v>1</v>
      </c>
      <c r="B275">
        <v>0</v>
      </c>
      <c r="C275">
        <v>17</v>
      </c>
      <c r="D275">
        <v>20.5</v>
      </c>
      <c r="E275">
        <v>4.5999999999999996</v>
      </c>
      <c r="F275">
        <v>2.1</v>
      </c>
      <c r="G275">
        <v>8.1999999999999993</v>
      </c>
      <c r="H275">
        <v>636435</v>
      </c>
      <c r="I275">
        <v>1</v>
      </c>
    </row>
    <row r="276" spans="1:9">
      <c r="A276">
        <v>0</v>
      </c>
      <c r="B276">
        <v>0</v>
      </c>
      <c r="C276">
        <v>82</v>
      </c>
      <c r="D276">
        <v>25.1</v>
      </c>
      <c r="E276">
        <v>4</v>
      </c>
      <c r="F276">
        <v>1.8</v>
      </c>
      <c r="G276">
        <v>8.1999999999999993</v>
      </c>
      <c r="H276">
        <v>6000000</v>
      </c>
      <c r="I276">
        <v>1</v>
      </c>
    </row>
    <row r="277" spans="1:9">
      <c r="A277">
        <v>1</v>
      </c>
      <c r="B277">
        <v>1</v>
      </c>
      <c r="C277">
        <v>41</v>
      </c>
      <c r="D277">
        <v>17.100000000000001</v>
      </c>
      <c r="E277">
        <v>2.1</v>
      </c>
      <c r="F277">
        <v>3</v>
      </c>
      <c r="G277">
        <v>8.1</v>
      </c>
      <c r="H277">
        <v>85300</v>
      </c>
      <c r="I277">
        <v>1</v>
      </c>
    </row>
    <row r="278" spans="1:9">
      <c r="A278">
        <v>1</v>
      </c>
      <c r="B278">
        <v>0</v>
      </c>
      <c r="C278">
        <v>69</v>
      </c>
      <c r="D278">
        <v>16.2</v>
      </c>
      <c r="E278">
        <v>4.0999999999999996</v>
      </c>
      <c r="F278">
        <v>1</v>
      </c>
      <c r="G278">
        <v>8.1</v>
      </c>
      <c r="H278">
        <v>2461463</v>
      </c>
      <c r="I278">
        <v>1</v>
      </c>
    </row>
    <row r="279" spans="1:9">
      <c r="A279">
        <v>0</v>
      </c>
      <c r="B279">
        <v>1</v>
      </c>
      <c r="C279">
        <v>15</v>
      </c>
      <c r="D279">
        <v>32.799999999999997</v>
      </c>
      <c r="E279">
        <v>3.8</v>
      </c>
      <c r="F279">
        <v>4.0999999999999996</v>
      </c>
      <c r="G279">
        <v>8.1</v>
      </c>
      <c r="H279">
        <v>73153</v>
      </c>
      <c r="I279">
        <v>1</v>
      </c>
    </row>
    <row r="280" spans="1:9">
      <c r="A280">
        <v>0</v>
      </c>
      <c r="B280">
        <v>1</v>
      </c>
      <c r="C280">
        <v>42</v>
      </c>
      <c r="D280">
        <v>21</v>
      </c>
      <c r="E280">
        <v>2.1</v>
      </c>
      <c r="F280">
        <v>1.5</v>
      </c>
      <c r="G280">
        <v>8.1</v>
      </c>
      <c r="H280">
        <v>724598</v>
      </c>
      <c r="I280">
        <v>1</v>
      </c>
    </row>
    <row r="281" spans="1:9">
      <c r="A281">
        <v>1</v>
      </c>
      <c r="B281">
        <v>1</v>
      </c>
      <c r="C281">
        <v>65</v>
      </c>
      <c r="D281">
        <v>21.2</v>
      </c>
      <c r="E281">
        <v>1</v>
      </c>
      <c r="F281">
        <v>1.2</v>
      </c>
      <c r="G281">
        <v>8.1</v>
      </c>
      <c r="H281">
        <v>3697105</v>
      </c>
      <c r="I281">
        <v>1</v>
      </c>
    </row>
    <row r="282" spans="1:9">
      <c r="A282">
        <v>1</v>
      </c>
      <c r="B282">
        <v>0</v>
      </c>
      <c r="C282">
        <v>2</v>
      </c>
      <c r="D282">
        <v>22.5</v>
      </c>
      <c r="E282">
        <v>3</v>
      </c>
      <c r="F282">
        <v>3</v>
      </c>
      <c r="G282">
        <v>8</v>
      </c>
      <c r="H282">
        <v>47092</v>
      </c>
      <c r="I282">
        <v>1</v>
      </c>
    </row>
    <row r="283" spans="1:9">
      <c r="A283">
        <v>0</v>
      </c>
      <c r="B283">
        <v>1</v>
      </c>
      <c r="C283">
        <v>11</v>
      </c>
      <c r="D283">
        <v>21</v>
      </c>
      <c r="E283">
        <v>4.5999999999999996</v>
      </c>
      <c r="F283">
        <v>3.3</v>
      </c>
      <c r="G283">
        <v>8</v>
      </c>
      <c r="H283">
        <v>131970</v>
      </c>
      <c r="I283">
        <v>1</v>
      </c>
    </row>
    <row r="284" spans="1:9">
      <c r="A284">
        <v>0</v>
      </c>
      <c r="B284">
        <v>0</v>
      </c>
      <c r="C284">
        <v>5</v>
      </c>
      <c r="D284">
        <v>14.6</v>
      </c>
      <c r="E284">
        <v>4</v>
      </c>
      <c r="F284">
        <v>0.8</v>
      </c>
      <c r="G284">
        <v>8</v>
      </c>
      <c r="H284">
        <v>146307</v>
      </c>
      <c r="I284">
        <v>1</v>
      </c>
    </row>
    <row r="285" spans="1:9">
      <c r="A285">
        <v>1</v>
      </c>
      <c r="B285">
        <v>0</v>
      </c>
      <c r="C285">
        <v>6</v>
      </c>
      <c r="D285">
        <v>30.3</v>
      </c>
      <c r="E285">
        <v>5.2</v>
      </c>
      <c r="F285">
        <v>1.7</v>
      </c>
      <c r="G285">
        <v>8</v>
      </c>
      <c r="H285">
        <v>636435</v>
      </c>
      <c r="I285">
        <v>1</v>
      </c>
    </row>
    <row r="286" spans="1:9">
      <c r="A286">
        <v>0</v>
      </c>
      <c r="B286">
        <v>1</v>
      </c>
      <c r="C286">
        <v>14</v>
      </c>
      <c r="D286">
        <v>17.100000000000001</v>
      </c>
      <c r="E286">
        <v>2.1</v>
      </c>
      <c r="F286">
        <v>1</v>
      </c>
      <c r="G286">
        <v>8</v>
      </c>
      <c r="H286">
        <v>636435</v>
      </c>
      <c r="I286">
        <v>1</v>
      </c>
    </row>
    <row r="287" spans="1:9">
      <c r="A287">
        <v>0</v>
      </c>
      <c r="B287">
        <v>1</v>
      </c>
      <c r="C287">
        <v>82</v>
      </c>
      <c r="D287">
        <v>24.4</v>
      </c>
      <c r="E287">
        <v>3.9</v>
      </c>
      <c r="F287">
        <v>2.1</v>
      </c>
      <c r="G287">
        <v>7.9</v>
      </c>
      <c r="H287">
        <v>3080921</v>
      </c>
      <c r="I287">
        <v>1</v>
      </c>
    </row>
    <row r="288" spans="1:9">
      <c r="A288">
        <v>1</v>
      </c>
      <c r="B288">
        <v>0</v>
      </c>
      <c r="C288">
        <v>73</v>
      </c>
      <c r="D288">
        <v>26</v>
      </c>
      <c r="E288">
        <v>8.6999999999999993</v>
      </c>
      <c r="F288">
        <v>1.9</v>
      </c>
      <c r="G288">
        <v>7.9</v>
      </c>
      <c r="H288">
        <v>2270735</v>
      </c>
      <c r="I288">
        <v>0</v>
      </c>
    </row>
    <row r="289" spans="1:9">
      <c r="A289">
        <v>1</v>
      </c>
      <c r="B289">
        <v>1</v>
      </c>
      <c r="C289">
        <v>24</v>
      </c>
      <c r="D289">
        <v>15.8</v>
      </c>
      <c r="E289">
        <v>1.1000000000000001</v>
      </c>
      <c r="F289">
        <v>1.7</v>
      </c>
      <c r="G289">
        <v>7.9</v>
      </c>
      <c r="H289">
        <v>85300</v>
      </c>
      <c r="I289">
        <v>1</v>
      </c>
    </row>
    <row r="290" spans="1:9">
      <c r="A290">
        <v>1</v>
      </c>
      <c r="B290">
        <v>0</v>
      </c>
      <c r="C290">
        <v>46</v>
      </c>
      <c r="D290">
        <v>15.6</v>
      </c>
      <c r="E290">
        <v>3.9</v>
      </c>
      <c r="F290">
        <v>0.9</v>
      </c>
      <c r="G290">
        <v>7.8</v>
      </c>
      <c r="H290">
        <v>2221677</v>
      </c>
      <c r="I290">
        <v>0</v>
      </c>
    </row>
    <row r="291" spans="1:9">
      <c r="A291">
        <v>0</v>
      </c>
      <c r="B291">
        <v>1</v>
      </c>
      <c r="C291">
        <v>69</v>
      </c>
      <c r="D291">
        <v>20.399999999999999</v>
      </c>
      <c r="E291">
        <v>2</v>
      </c>
      <c r="F291">
        <v>4</v>
      </c>
      <c r="G291">
        <v>7.8</v>
      </c>
      <c r="H291">
        <v>3991320</v>
      </c>
      <c r="I291">
        <v>1</v>
      </c>
    </row>
    <row r="292" spans="1:9">
      <c r="A292">
        <v>1</v>
      </c>
      <c r="B292">
        <v>0</v>
      </c>
      <c r="C292">
        <v>65</v>
      </c>
      <c r="D292">
        <v>13.9</v>
      </c>
      <c r="E292">
        <v>4.5</v>
      </c>
      <c r="F292">
        <v>1.2</v>
      </c>
      <c r="G292">
        <v>7.8</v>
      </c>
      <c r="H292">
        <v>5335894</v>
      </c>
      <c r="I292">
        <v>1</v>
      </c>
    </row>
    <row r="293" spans="1:9">
      <c r="A293">
        <v>0</v>
      </c>
      <c r="B293">
        <v>0</v>
      </c>
      <c r="C293">
        <v>27</v>
      </c>
      <c r="D293">
        <v>16.600000000000001</v>
      </c>
      <c r="E293">
        <v>6.6</v>
      </c>
      <c r="F293">
        <v>1.2</v>
      </c>
      <c r="G293">
        <v>7.8</v>
      </c>
      <c r="H293">
        <v>85300</v>
      </c>
      <c r="I293">
        <v>0</v>
      </c>
    </row>
    <row r="294" spans="1:9">
      <c r="A294">
        <v>1</v>
      </c>
      <c r="B294">
        <v>0</v>
      </c>
      <c r="C294">
        <v>71</v>
      </c>
      <c r="D294">
        <v>23.8</v>
      </c>
      <c r="E294">
        <v>4.8</v>
      </c>
      <c r="F294">
        <v>1.2</v>
      </c>
      <c r="G294">
        <v>7.7</v>
      </c>
      <c r="H294">
        <v>3415000</v>
      </c>
      <c r="I294">
        <v>1</v>
      </c>
    </row>
    <row r="295" spans="1:9">
      <c r="A295">
        <v>0</v>
      </c>
      <c r="B295">
        <v>0</v>
      </c>
      <c r="C295">
        <v>67</v>
      </c>
      <c r="D295">
        <v>17.3</v>
      </c>
      <c r="E295">
        <v>4</v>
      </c>
      <c r="F295">
        <v>1.4</v>
      </c>
      <c r="G295">
        <v>7.7</v>
      </c>
      <c r="H295">
        <v>1955377</v>
      </c>
      <c r="I295">
        <v>0</v>
      </c>
    </row>
    <row r="296" spans="1:9">
      <c r="A296">
        <v>1</v>
      </c>
      <c r="B296">
        <v>0</v>
      </c>
      <c r="C296">
        <v>57</v>
      </c>
      <c r="D296">
        <v>19.3</v>
      </c>
      <c r="E296">
        <v>3.2</v>
      </c>
      <c r="F296">
        <v>2.4</v>
      </c>
      <c r="G296">
        <v>7.6</v>
      </c>
      <c r="H296">
        <v>6670882</v>
      </c>
      <c r="I296">
        <v>0</v>
      </c>
    </row>
    <row r="297" spans="1:9">
      <c r="A297">
        <v>1</v>
      </c>
      <c r="B297">
        <v>1</v>
      </c>
      <c r="C297">
        <v>51</v>
      </c>
      <c r="D297">
        <v>16.100000000000001</v>
      </c>
      <c r="E297">
        <v>2.2999999999999998</v>
      </c>
      <c r="F297">
        <v>1.4</v>
      </c>
      <c r="G297">
        <v>7.6</v>
      </c>
      <c r="H297">
        <v>9219512</v>
      </c>
      <c r="I297">
        <v>0</v>
      </c>
    </row>
    <row r="298" spans="1:9">
      <c r="A298">
        <v>1</v>
      </c>
      <c r="B298">
        <v>0</v>
      </c>
      <c r="C298">
        <v>69</v>
      </c>
      <c r="D298">
        <v>21.4</v>
      </c>
      <c r="E298">
        <v>5.5</v>
      </c>
      <c r="F298">
        <v>0.8</v>
      </c>
      <c r="G298">
        <v>7.6</v>
      </c>
      <c r="H298">
        <v>2296274</v>
      </c>
      <c r="I298">
        <v>1</v>
      </c>
    </row>
    <row r="299" spans="1:9">
      <c r="A299">
        <v>0</v>
      </c>
      <c r="B299">
        <v>0</v>
      </c>
      <c r="C299">
        <v>66</v>
      </c>
      <c r="D299">
        <v>18.3</v>
      </c>
      <c r="E299">
        <v>4.0999999999999996</v>
      </c>
      <c r="F299">
        <v>0.9</v>
      </c>
      <c r="G299">
        <v>7.5</v>
      </c>
      <c r="H299">
        <v>3449323</v>
      </c>
      <c r="I299">
        <v>1</v>
      </c>
    </row>
    <row r="300" spans="1:9">
      <c r="A300">
        <v>0</v>
      </c>
      <c r="B300">
        <v>1</v>
      </c>
      <c r="C300">
        <v>73</v>
      </c>
      <c r="D300">
        <v>15.6</v>
      </c>
      <c r="E300">
        <v>3.6</v>
      </c>
      <c r="F300">
        <v>1.7</v>
      </c>
      <c r="G300">
        <v>7.5</v>
      </c>
      <c r="H300">
        <v>3303774</v>
      </c>
      <c r="I300">
        <v>1</v>
      </c>
    </row>
    <row r="301" spans="1:9">
      <c r="A301">
        <v>1</v>
      </c>
      <c r="B301">
        <v>1</v>
      </c>
      <c r="C301">
        <v>44</v>
      </c>
      <c r="D301">
        <v>20.8</v>
      </c>
      <c r="E301">
        <v>2.1</v>
      </c>
      <c r="F301">
        <v>3.3</v>
      </c>
      <c r="G301">
        <v>7.5</v>
      </c>
      <c r="H301">
        <v>2884560</v>
      </c>
      <c r="I301">
        <v>0</v>
      </c>
    </row>
    <row r="302" spans="1:9">
      <c r="A302">
        <v>1</v>
      </c>
      <c r="B302">
        <v>1</v>
      </c>
      <c r="C302">
        <v>72</v>
      </c>
      <c r="D302">
        <v>20.5</v>
      </c>
      <c r="E302">
        <v>2.6</v>
      </c>
      <c r="F302">
        <v>1.2</v>
      </c>
      <c r="G302">
        <v>7.5</v>
      </c>
      <c r="H302">
        <v>3638160</v>
      </c>
      <c r="I302">
        <v>1</v>
      </c>
    </row>
    <row r="303" spans="1:9">
      <c r="A303">
        <v>1</v>
      </c>
      <c r="B303">
        <v>0</v>
      </c>
      <c r="C303">
        <v>49</v>
      </c>
      <c r="D303">
        <v>17</v>
      </c>
      <c r="E303">
        <v>3.2</v>
      </c>
      <c r="F303">
        <v>0.9</v>
      </c>
      <c r="G303">
        <v>7.4</v>
      </c>
      <c r="H303">
        <v>2378870</v>
      </c>
      <c r="I303">
        <v>1</v>
      </c>
    </row>
    <row r="304" spans="1:9">
      <c r="A304">
        <v>0</v>
      </c>
      <c r="B304">
        <v>0</v>
      </c>
      <c r="C304">
        <v>59</v>
      </c>
      <c r="D304">
        <v>18.899999999999999</v>
      </c>
      <c r="E304">
        <v>3.7</v>
      </c>
      <c r="F304">
        <v>0.9</v>
      </c>
      <c r="G304">
        <v>7.4</v>
      </c>
      <c r="H304">
        <v>6127080</v>
      </c>
      <c r="I304">
        <v>1</v>
      </c>
    </row>
    <row r="305" spans="1:9">
      <c r="A305">
        <v>1</v>
      </c>
      <c r="B305">
        <v>1</v>
      </c>
      <c r="C305">
        <v>69</v>
      </c>
      <c r="D305">
        <v>19.899999999999999</v>
      </c>
      <c r="E305">
        <v>2.5</v>
      </c>
      <c r="F305">
        <v>3.4</v>
      </c>
      <c r="G305">
        <v>7.4</v>
      </c>
      <c r="H305">
        <v>4500000</v>
      </c>
      <c r="I305">
        <v>1</v>
      </c>
    </row>
    <row r="306" spans="1:9">
      <c r="A306">
        <v>0</v>
      </c>
      <c r="B306">
        <v>1</v>
      </c>
      <c r="C306">
        <v>23</v>
      </c>
      <c r="D306">
        <v>19.7</v>
      </c>
      <c r="E306">
        <v>2.6</v>
      </c>
      <c r="F306">
        <v>2.2000000000000002</v>
      </c>
      <c r="G306">
        <v>7.4</v>
      </c>
      <c r="H306">
        <v>16020000</v>
      </c>
      <c r="I306">
        <v>0</v>
      </c>
    </row>
    <row r="307" spans="1:9">
      <c r="A307">
        <v>1</v>
      </c>
      <c r="B307">
        <v>1</v>
      </c>
      <c r="C307">
        <v>60</v>
      </c>
      <c r="D307">
        <v>19.2</v>
      </c>
      <c r="E307">
        <v>2</v>
      </c>
      <c r="F307">
        <v>2.7</v>
      </c>
      <c r="G307">
        <v>7.4</v>
      </c>
      <c r="H307">
        <v>14104000</v>
      </c>
      <c r="I307">
        <v>1</v>
      </c>
    </row>
    <row r="308" spans="1:9">
      <c r="A308">
        <v>1</v>
      </c>
      <c r="B308">
        <v>1</v>
      </c>
      <c r="C308">
        <v>22</v>
      </c>
      <c r="D308">
        <v>17</v>
      </c>
      <c r="E308">
        <v>2</v>
      </c>
      <c r="F308">
        <v>2.6</v>
      </c>
      <c r="G308">
        <v>7.4</v>
      </c>
      <c r="H308">
        <v>1127841</v>
      </c>
      <c r="I308">
        <v>1</v>
      </c>
    </row>
    <row r="309" spans="1:9">
      <c r="A309">
        <v>1</v>
      </c>
      <c r="B309">
        <v>1</v>
      </c>
      <c r="C309">
        <v>50</v>
      </c>
      <c r="D309">
        <v>20.6</v>
      </c>
      <c r="E309">
        <v>3.9</v>
      </c>
      <c r="F309">
        <v>1.3</v>
      </c>
      <c r="G309">
        <v>7.4</v>
      </c>
      <c r="H309">
        <v>1131970</v>
      </c>
      <c r="I309">
        <v>1</v>
      </c>
    </row>
    <row r="310" spans="1:9">
      <c r="A310">
        <v>0</v>
      </c>
      <c r="B310">
        <v>1</v>
      </c>
      <c r="C310">
        <v>82</v>
      </c>
      <c r="D310">
        <v>27.2</v>
      </c>
      <c r="E310">
        <v>3.3</v>
      </c>
      <c r="F310">
        <v>3.6</v>
      </c>
      <c r="G310">
        <v>7.3</v>
      </c>
      <c r="H310">
        <v>5426400</v>
      </c>
      <c r="I310">
        <v>1</v>
      </c>
    </row>
    <row r="311" spans="1:9">
      <c r="A311">
        <v>1</v>
      </c>
      <c r="B311">
        <v>0</v>
      </c>
      <c r="C311">
        <v>47</v>
      </c>
      <c r="D311">
        <v>17.2</v>
      </c>
      <c r="E311">
        <v>3.3</v>
      </c>
      <c r="F311">
        <v>2.2000000000000002</v>
      </c>
      <c r="G311">
        <v>7.3</v>
      </c>
      <c r="H311">
        <v>4445417</v>
      </c>
      <c r="I311">
        <v>0</v>
      </c>
    </row>
    <row r="312" spans="1:9">
      <c r="A312">
        <v>0</v>
      </c>
      <c r="B312">
        <v>1</v>
      </c>
      <c r="C312">
        <v>68</v>
      </c>
      <c r="D312">
        <v>19.899999999999999</v>
      </c>
      <c r="E312">
        <v>2.2999999999999998</v>
      </c>
      <c r="F312">
        <v>1.6</v>
      </c>
      <c r="G312">
        <v>7.3</v>
      </c>
      <c r="H312">
        <v>475497</v>
      </c>
      <c r="I312">
        <v>1</v>
      </c>
    </row>
    <row r="313" spans="1:9">
      <c r="A313">
        <v>1</v>
      </c>
      <c r="B313">
        <v>0</v>
      </c>
      <c r="C313">
        <v>13</v>
      </c>
      <c r="D313">
        <v>23.9</v>
      </c>
      <c r="E313">
        <v>4.4000000000000004</v>
      </c>
      <c r="F313">
        <v>2.8</v>
      </c>
      <c r="G313">
        <v>7.3</v>
      </c>
      <c r="H313">
        <v>160938</v>
      </c>
      <c r="I313">
        <v>1</v>
      </c>
    </row>
    <row r="314" spans="1:9">
      <c r="A314">
        <v>1</v>
      </c>
      <c r="B314">
        <v>1</v>
      </c>
      <c r="C314">
        <v>63</v>
      </c>
      <c r="D314">
        <v>24.3</v>
      </c>
      <c r="E314">
        <v>3.2</v>
      </c>
      <c r="F314">
        <v>3</v>
      </c>
      <c r="G314">
        <v>7.2</v>
      </c>
      <c r="H314">
        <v>15500000</v>
      </c>
      <c r="I314">
        <v>1</v>
      </c>
    </row>
    <row r="315" spans="1:9">
      <c r="A315">
        <v>0</v>
      </c>
      <c r="B315">
        <v>1</v>
      </c>
      <c r="C315">
        <v>66</v>
      </c>
      <c r="D315">
        <v>18.600000000000001</v>
      </c>
      <c r="E315">
        <v>2.4</v>
      </c>
      <c r="F315">
        <v>3.5</v>
      </c>
      <c r="G315">
        <v>7.2</v>
      </c>
      <c r="H315">
        <v>857804</v>
      </c>
      <c r="I315">
        <v>1</v>
      </c>
    </row>
    <row r="316" spans="1:9">
      <c r="A316">
        <v>0</v>
      </c>
      <c r="B316">
        <v>1</v>
      </c>
      <c r="C316">
        <v>57</v>
      </c>
      <c r="D316">
        <v>15.1</v>
      </c>
      <c r="E316">
        <v>2</v>
      </c>
      <c r="F316">
        <v>1.1000000000000001</v>
      </c>
      <c r="G316">
        <v>7.2</v>
      </c>
      <c r="H316">
        <v>2674200</v>
      </c>
      <c r="I316">
        <v>1</v>
      </c>
    </row>
    <row r="317" spans="1:9">
      <c r="A317">
        <v>0</v>
      </c>
      <c r="B317">
        <v>0</v>
      </c>
      <c r="C317">
        <v>65</v>
      </c>
      <c r="D317">
        <v>19.600000000000001</v>
      </c>
      <c r="E317">
        <v>5.5</v>
      </c>
      <c r="F317">
        <v>2.4</v>
      </c>
      <c r="G317">
        <v>7.2</v>
      </c>
      <c r="H317">
        <v>8450704</v>
      </c>
      <c r="I317">
        <v>1</v>
      </c>
    </row>
    <row r="318" spans="1:9">
      <c r="A318">
        <v>1</v>
      </c>
      <c r="B318">
        <v>0</v>
      </c>
      <c r="C318">
        <v>15</v>
      </c>
      <c r="D318">
        <v>28.9</v>
      </c>
      <c r="E318">
        <v>5</v>
      </c>
      <c r="F318">
        <v>1.5</v>
      </c>
      <c r="G318">
        <v>7.1</v>
      </c>
      <c r="H318">
        <v>186541</v>
      </c>
      <c r="I318">
        <v>1</v>
      </c>
    </row>
    <row r="319" spans="1:9">
      <c r="A319">
        <v>0</v>
      </c>
      <c r="B319">
        <v>1</v>
      </c>
      <c r="C319">
        <v>10</v>
      </c>
      <c r="D319">
        <v>13.3</v>
      </c>
      <c r="E319">
        <v>1.2</v>
      </c>
      <c r="F319">
        <v>1</v>
      </c>
      <c r="G319">
        <v>7.1</v>
      </c>
      <c r="H319">
        <v>2777830</v>
      </c>
      <c r="I319">
        <v>1</v>
      </c>
    </row>
    <row r="320" spans="1:9">
      <c r="A320">
        <v>1</v>
      </c>
      <c r="B320">
        <v>1</v>
      </c>
      <c r="C320">
        <v>65</v>
      </c>
      <c r="D320">
        <v>21.4</v>
      </c>
      <c r="E320">
        <v>3</v>
      </c>
      <c r="F320">
        <v>1.8</v>
      </c>
      <c r="G320">
        <v>7.1</v>
      </c>
      <c r="H320">
        <v>2790720</v>
      </c>
      <c r="I320">
        <v>1</v>
      </c>
    </row>
    <row r="321" spans="1:9">
      <c r="A321">
        <v>0</v>
      </c>
      <c r="B321">
        <v>0</v>
      </c>
      <c r="C321">
        <v>2</v>
      </c>
      <c r="D321">
        <v>24.5</v>
      </c>
      <c r="E321">
        <v>7.5</v>
      </c>
      <c r="F321">
        <v>1.5</v>
      </c>
      <c r="G321">
        <v>7</v>
      </c>
      <c r="H321">
        <v>87784</v>
      </c>
      <c r="I321">
        <v>1</v>
      </c>
    </row>
    <row r="322" spans="1:9">
      <c r="A322">
        <v>1</v>
      </c>
      <c r="B322">
        <v>1</v>
      </c>
      <c r="C322">
        <v>32</v>
      </c>
      <c r="D322">
        <v>20.399999999999999</v>
      </c>
      <c r="E322">
        <v>2.2000000000000002</v>
      </c>
      <c r="F322">
        <v>1.8</v>
      </c>
      <c r="G322">
        <v>7</v>
      </c>
      <c r="H322">
        <v>636435</v>
      </c>
      <c r="I322">
        <v>1</v>
      </c>
    </row>
    <row r="323" spans="1:9">
      <c r="A323">
        <v>1</v>
      </c>
      <c r="B323">
        <v>0</v>
      </c>
      <c r="C323">
        <v>36</v>
      </c>
      <c r="D323">
        <v>19.8</v>
      </c>
      <c r="E323">
        <v>3.9</v>
      </c>
      <c r="F323">
        <v>1.6</v>
      </c>
      <c r="G323">
        <v>7</v>
      </c>
      <c r="H323">
        <v>13645500</v>
      </c>
      <c r="I323">
        <v>1</v>
      </c>
    </row>
    <row r="324" spans="1:9">
      <c r="A324">
        <v>1</v>
      </c>
      <c r="B324">
        <v>0</v>
      </c>
      <c r="C324">
        <v>72</v>
      </c>
      <c r="D324">
        <v>20.5</v>
      </c>
      <c r="E324">
        <v>3</v>
      </c>
      <c r="F324">
        <v>1.5</v>
      </c>
      <c r="G324">
        <v>7</v>
      </c>
      <c r="H324">
        <v>18000000</v>
      </c>
      <c r="I324">
        <v>1</v>
      </c>
    </row>
    <row r="325" spans="1:9">
      <c r="A325">
        <v>1</v>
      </c>
      <c r="B325">
        <v>1</v>
      </c>
      <c r="C325">
        <v>82</v>
      </c>
      <c r="D325">
        <v>17.600000000000001</v>
      </c>
      <c r="E325">
        <v>2.8</v>
      </c>
      <c r="F325">
        <v>0.7</v>
      </c>
      <c r="G325">
        <v>6.9</v>
      </c>
      <c r="H325">
        <v>2874436</v>
      </c>
      <c r="I325">
        <v>1</v>
      </c>
    </row>
    <row r="326" spans="1:9">
      <c r="A326">
        <v>1</v>
      </c>
      <c r="B326">
        <v>0</v>
      </c>
      <c r="C326">
        <v>36</v>
      </c>
      <c r="D326">
        <v>11.9</v>
      </c>
      <c r="E326">
        <v>3.2</v>
      </c>
      <c r="F326">
        <v>0.8</v>
      </c>
      <c r="G326">
        <v>6.9</v>
      </c>
      <c r="H326">
        <v>5000000</v>
      </c>
      <c r="I326">
        <v>0</v>
      </c>
    </row>
    <row r="327" spans="1:9">
      <c r="A327">
        <v>1</v>
      </c>
      <c r="B327">
        <v>0</v>
      </c>
      <c r="C327">
        <v>14</v>
      </c>
      <c r="D327">
        <v>14</v>
      </c>
      <c r="E327">
        <v>2.2999999999999998</v>
      </c>
      <c r="F327">
        <v>1.1000000000000001</v>
      </c>
      <c r="G327">
        <v>6.8</v>
      </c>
      <c r="H327">
        <v>636435</v>
      </c>
      <c r="I327">
        <v>1</v>
      </c>
    </row>
    <row r="328" spans="1:9">
      <c r="A328">
        <v>0</v>
      </c>
      <c r="B328">
        <v>1</v>
      </c>
      <c r="C328">
        <v>26</v>
      </c>
      <c r="D328">
        <v>21</v>
      </c>
      <c r="E328">
        <v>2</v>
      </c>
      <c r="F328">
        <v>2.9</v>
      </c>
      <c r="G328">
        <v>6.8</v>
      </c>
      <c r="H328">
        <v>636435</v>
      </c>
      <c r="I328">
        <v>1</v>
      </c>
    </row>
    <row r="329" spans="1:9">
      <c r="A329">
        <v>1</v>
      </c>
      <c r="B329">
        <v>1</v>
      </c>
      <c r="C329">
        <v>72</v>
      </c>
      <c r="D329">
        <v>20.5</v>
      </c>
      <c r="E329">
        <v>1.9</v>
      </c>
      <c r="F329">
        <v>1</v>
      </c>
      <c r="G329">
        <v>6.7</v>
      </c>
      <c r="H329">
        <v>2301587</v>
      </c>
      <c r="I329">
        <v>1</v>
      </c>
    </row>
    <row r="330" spans="1:9">
      <c r="A330">
        <v>0</v>
      </c>
      <c r="B330">
        <v>0</v>
      </c>
      <c r="C330">
        <v>55</v>
      </c>
      <c r="D330">
        <v>16.5</v>
      </c>
      <c r="E330">
        <v>5.3</v>
      </c>
      <c r="F330">
        <v>0.9</v>
      </c>
      <c r="G330">
        <v>6.7</v>
      </c>
      <c r="H330">
        <v>7600000</v>
      </c>
      <c r="I330">
        <v>1</v>
      </c>
    </row>
    <row r="331" spans="1:9">
      <c r="A331">
        <v>1</v>
      </c>
      <c r="B331">
        <v>1</v>
      </c>
      <c r="C331">
        <v>35</v>
      </c>
      <c r="D331">
        <v>15.1</v>
      </c>
      <c r="E331">
        <v>2.5</v>
      </c>
      <c r="F331">
        <v>3.5</v>
      </c>
      <c r="G331">
        <v>6.7</v>
      </c>
      <c r="H331">
        <v>6367947</v>
      </c>
      <c r="I331">
        <v>1</v>
      </c>
    </row>
    <row r="332" spans="1:9">
      <c r="A332">
        <v>0</v>
      </c>
      <c r="B332">
        <v>0</v>
      </c>
      <c r="C332">
        <v>37</v>
      </c>
      <c r="D332">
        <v>16.600000000000001</v>
      </c>
      <c r="E332">
        <v>5.8</v>
      </c>
      <c r="F332">
        <v>1.8</v>
      </c>
      <c r="G332">
        <v>6.7</v>
      </c>
      <c r="H332">
        <v>4150000</v>
      </c>
      <c r="I332">
        <v>1</v>
      </c>
    </row>
    <row r="333" spans="1:9">
      <c r="A333">
        <v>0</v>
      </c>
      <c r="B333">
        <v>0</v>
      </c>
      <c r="C333">
        <v>59</v>
      </c>
      <c r="D333">
        <v>17.100000000000001</v>
      </c>
      <c r="E333">
        <v>7</v>
      </c>
      <c r="F333">
        <v>1</v>
      </c>
      <c r="G333">
        <v>6.7</v>
      </c>
      <c r="H333">
        <v>13285713</v>
      </c>
      <c r="I333">
        <v>1</v>
      </c>
    </row>
    <row r="334" spans="1:9">
      <c r="A334">
        <v>0</v>
      </c>
      <c r="B334">
        <v>1</v>
      </c>
      <c r="C334">
        <v>60</v>
      </c>
      <c r="D334">
        <v>19.5</v>
      </c>
      <c r="E334">
        <v>2.2000000000000002</v>
      </c>
      <c r="F334">
        <v>5.3</v>
      </c>
      <c r="G334">
        <v>6.6</v>
      </c>
      <c r="H334">
        <v>321875</v>
      </c>
      <c r="I334">
        <v>0</v>
      </c>
    </row>
    <row r="335" spans="1:9">
      <c r="A335">
        <v>1</v>
      </c>
      <c r="B335">
        <v>1</v>
      </c>
      <c r="C335">
        <v>82</v>
      </c>
      <c r="D335">
        <v>22.6</v>
      </c>
      <c r="E335">
        <v>1.7</v>
      </c>
      <c r="F335">
        <v>5.4</v>
      </c>
      <c r="G335">
        <v>6.6</v>
      </c>
      <c r="H335">
        <v>1955377</v>
      </c>
      <c r="I335">
        <v>1</v>
      </c>
    </row>
    <row r="336" spans="1:9">
      <c r="A336">
        <v>0</v>
      </c>
      <c r="B336">
        <v>0</v>
      </c>
      <c r="C336">
        <v>82</v>
      </c>
      <c r="D336">
        <v>22</v>
      </c>
      <c r="E336">
        <v>5.0999999999999996</v>
      </c>
      <c r="F336">
        <v>2.2999999999999998</v>
      </c>
      <c r="G336">
        <v>6.5</v>
      </c>
      <c r="H336">
        <v>1955377</v>
      </c>
      <c r="I336">
        <v>1</v>
      </c>
    </row>
    <row r="337" spans="1:9">
      <c r="A337">
        <v>0</v>
      </c>
      <c r="B337">
        <v>0</v>
      </c>
      <c r="C337">
        <v>68</v>
      </c>
      <c r="D337">
        <v>21</v>
      </c>
      <c r="E337">
        <v>6.1</v>
      </c>
      <c r="F337">
        <v>1.9</v>
      </c>
      <c r="G337">
        <v>6.5</v>
      </c>
      <c r="H337">
        <v>11000000</v>
      </c>
      <c r="I337">
        <v>1</v>
      </c>
    </row>
    <row r="338" spans="1:9">
      <c r="A338">
        <v>1</v>
      </c>
      <c r="B338">
        <v>1</v>
      </c>
      <c r="C338">
        <v>63</v>
      </c>
      <c r="D338">
        <v>21</v>
      </c>
      <c r="E338">
        <v>1.8</v>
      </c>
      <c r="F338">
        <v>1.4</v>
      </c>
      <c r="G338">
        <v>6.5</v>
      </c>
      <c r="H338">
        <v>3372240</v>
      </c>
      <c r="I338">
        <v>1</v>
      </c>
    </row>
    <row r="339" spans="1:9">
      <c r="A339">
        <v>1</v>
      </c>
      <c r="B339">
        <v>0</v>
      </c>
      <c r="C339">
        <v>53</v>
      </c>
      <c r="D339">
        <v>16.3</v>
      </c>
      <c r="E339">
        <v>3.3</v>
      </c>
      <c r="F339">
        <v>2.5</v>
      </c>
      <c r="G339">
        <v>6.5</v>
      </c>
      <c r="H339">
        <v>2461463</v>
      </c>
      <c r="I339">
        <v>1</v>
      </c>
    </row>
    <row r="340" spans="1:9">
      <c r="A340">
        <v>0</v>
      </c>
      <c r="B340">
        <v>0</v>
      </c>
      <c r="C340">
        <v>56</v>
      </c>
      <c r="D340">
        <v>15.3</v>
      </c>
      <c r="E340">
        <v>3.3</v>
      </c>
      <c r="F340">
        <v>1.4</v>
      </c>
      <c r="G340">
        <v>6.5</v>
      </c>
      <c r="H340">
        <v>7163000</v>
      </c>
      <c r="I340">
        <v>1</v>
      </c>
    </row>
    <row r="341" spans="1:9">
      <c r="A341">
        <v>1</v>
      </c>
      <c r="B341">
        <v>1</v>
      </c>
      <c r="C341">
        <v>53</v>
      </c>
      <c r="D341">
        <v>16.399999999999999</v>
      </c>
      <c r="E341">
        <v>1.7</v>
      </c>
      <c r="F341">
        <v>1.6</v>
      </c>
      <c r="G341">
        <v>6.4</v>
      </c>
      <c r="H341">
        <v>1168625</v>
      </c>
      <c r="I341">
        <v>1</v>
      </c>
    </row>
    <row r="342" spans="1:9">
      <c r="A342">
        <v>1</v>
      </c>
      <c r="B342">
        <v>0</v>
      </c>
      <c r="C342">
        <v>63</v>
      </c>
      <c r="D342">
        <v>19.5</v>
      </c>
      <c r="E342">
        <v>8.4</v>
      </c>
      <c r="F342">
        <v>1.3</v>
      </c>
      <c r="G342">
        <v>6.4</v>
      </c>
      <c r="H342">
        <v>5000000</v>
      </c>
      <c r="I342">
        <v>1</v>
      </c>
    </row>
    <row r="343" spans="1:9">
      <c r="A343">
        <v>0</v>
      </c>
      <c r="B343">
        <v>1</v>
      </c>
      <c r="C343">
        <v>69</v>
      </c>
      <c r="D343">
        <v>20</v>
      </c>
      <c r="E343">
        <v>2.5</v>
      </c>
      <c r="F343">
        <v>1.3</v>
      </c>
      <c r="G343">
        <v>6.4</v>
      </c>
      <c r="H343">
        <v>1272870</v>
      </c>
      <c r="I343">
        <v>1</v>
      </c>
    </row>
    <row r="344" spans="1:9">
      <c r="A344">
        <v>1</v>
      </c>
      <c r="B344">
        <v>0</v>
      </c>
      <c r="C344">
        <v>54</v>
      </c>
      <c r="D344">
        <v>15.9</v>
      </c>
      <c r="E344">
        <v>2.1</v>
      </c>
      <c r="F344">
        <v>0.9</v>
      </c>
      <c r="G344">
        <v>6.4</v>
      </c>
      <c r="H344">
        <v>2221677</v>
      </c>
      <c r="I344">
        <v>1</v>
      </c>
    </row>
    <row r="345" spans="1:9">
      <c r="A345">
        <v>1</v>
      </c>
      <c r="B345">
        <v>1</v>
      </c>
      <c r="C345">
        <v>65</v>
      </c>
      <c r="D345">
        <v>14.9</v>
      </c>
      <c r="E345">
        <v>2</v>
      </c>
      <c r="F345">
        <v>2.2000000000000002</v>
      </c>
      <c r="G345">
        <v>6.3</v>
      </c>
      <c r="H345">
        <v>6576120</v>
      </c>
      <c r="I345">
        <v>1</v>
      </c>
    </row>
    <row r="346" spans="1:9">
      <c r="A346">
        <v>0</v>
      </c>
      <c r="B346">
        <v>0</v>
      </c>
      <c r="C346">
        <v>43</v>
      </c>
      <c r="D346">
        <v>19.8</v>
      </c>
      <c r="E346">
        <v>3.5</v>
      </c>
      <c r="F346">
        <v>2.9</v>
      </c>
      <c r="G346">
        <v>6.2</v>
      </c>
      <c r="H346">
        <v>898095</v>
      </c>
      <c r="I346">
        <v>1</v>
      </c>
    </row>
    <row r="347" spans="1:9">
      <c r="A347">
        <v>1</v>
      </c>
      <c r="B347">
        <v>0</v>
      </c>
      <c r="C347">
        <v>60</v>
      </c>
      <c r="D347">
        <v>12.2</v>
      </c>
      <c r="E347">
        <v>3.4</v>
      </c>
      <c r="F347">
        <v>0.6</v>
      </c>
      <c r="G347">
        <v>6.2</v>
      </c>
      <c r="H347">
        <v>3287409</v>
      </c>
      <c r="I347">
        <v>1</v>
      </c>
    </row>
    <row r="348" spans="1:9">
      <c r="A348">
        <v>0</v>
      </c>
      <c r="B348">
        <v>1</v>
      </c>
      <c r="C348">
        <v>56</v>
      </c>
      <c r="D348">
        <v>18.2</v>
      </c>
      <c r="E348">
        <v>2.8</v>
      </c>
      <c r="F348">
        <v>2</v>
      </c>
      <c r="G348">
        <v>6.2</v>
      </c>
      <c r="H348">
        <v>18102000</v>
      </c>
      <c r="I348">
        <v>1</v>
      </c>
    </row>
    <row r="349" spans="1:9">
      <c r="A349">
        <v>1</v>
      </c>
      <c r="B349">
        <v>1</v>
      </c>
      <c r="C349">
        <v>53</v>
      </c>
      <c r="D349">
        <v>17.8</v>
      </c>
      <c r="E349">
        <v>2.6</v>
      </c>
      <c r="F349">
        <v>2.6</v>
      </c>
      <c r="G349">
        <v>6.2</v>
      </c>
      <c r="H349">
        <v>3658800</v>
      </c>
      <c r="I349">
        <v>0</v>
      </c>
    </row>
    <row r="350" spans="1:9">
      <c r="A350">
        <v>0</v>
      </c>
      <c r="B350">
        <v>1</v>
      </c>
      <c r="C350">
        <v>31</v>
      </c>
      <c r="D350">
        <v>21.7</v>
      </c>
      <c r="E350">
        <v>2.6</v>
      </c>
      <c r="F350">
        <v>2.2000000000000002</v>
      </c>
      <c r="G350">
        <v>6.2</v>
      </c>
      <c r="H350">
        <v>270668</v>
      </c>
      <c r="I350">
        <v>1</v>
      </c>
    </row>
    <row r="351" spans="1:9">
      <c r="A351">
        <v>0</v>
      </c>
      <c r="B351">
        <v>1</v>
      </c>
      <c r="C351">
        <v>30</v>
      </c>
      <c r="D351">
        <v>12.5</v>
      </c>
      <c r="E351">
        <v>0.8</v>
      </c>
      <c r="F351">
        <v>1</v>
      </c>
      <c r="G351">
        <v>6.2</v>
      </c>
      <c r="H351">
        <v>13197</v>
      </c>
      <c r="I351">
        <v>1</v>
      </c>
    </row>
    <row r="352" spans="1:9">
      <c r="A352">
        <v>1</v>
      </c>
      <c r="B352">
        <v>1</v>
      </c>
      <c r="C352">
        <v>76</v>
      </c>
      <c r="D352">
        <v>14</v>
      </c>
      <c r="E352">
        <v>1.9</v>
      </c>
      <c r="F352">
        <v>0.7</v>
      </c>
      <c r="G352">
        <v>6</v>
      </c>
      <c r="H352">
        <v>4990560</v>
      </c>
      <c r="I352">
        <v>1</v>
      </c>
    </row>
    <row r="353" spans="1:9">
      <c r="A353">
        <v>1</v>
      </c>
      <c r="B353">
        <v>0</v>
      </c>
      <c r="C353">
        <v>64</v>
      </c>
      <c r="D353">
        <v>15.3</v>
      </c>
      <c r="E353">
        <v>1.5</v>
      </c>
      <c r="F353">
        <v>1.3</v>
      </c>
      <c r="G353">
        <v>6</v>
      </c>
      <c r="H353">
        <v>2048494</v>
      </c>
      <c r="I353">
        <v>1</v>
      </c>
    </row>
    <row r="354" spans="1:9">
      <c r="A354">
        <v>0</v>
      </c>
      <c r="B354">
        <v>1</v>
      </c>
      <c r="C354">
        <v>1</v>
      </c>
      <c r="D354">
        <v>25</v>
      </c>
      <c r="E354">
        <v>0</v>
      </c>
      <c r="F354">
        <v>1</v>
      </c>
      <c r="G354">
        <v>6</v>
      </c>
      <c r="H354">
        <v>14631</v>
      </c>
      <c r="I354">
        <v>1</v>
      </c>
    </row>
    <row r="355" spans="1:9">
      <c r="A355">
        <v>1</v>
      </c>
      <c r="B355">
        <v>0</v>
      </c>
      <c r="C355">
        <v>37</v>
      </c>
      <c r="D355">
        <v>15.5</v>
      </c>
      <c r="E355">
        <v>4</v>
      </c>
      <c r="F355">
        <v>0.7</v>
      </c>
      <c r="G355">
        <v>6</v>
      </c>
      <c r="H355">
        <v>7863240</v>
      </c>
      <c r="I355">
        <v>0</v>
      </c>
    </row>
    <row r="356" spans="1:9">
      <c r="A356">
        <v>1</v>
      </c>
      <c r="B356">
        <v>0</v>
      </c>
      <c r="C356">
        <v>64</v>
      </c>
      <c r="D356">
        <v>15.2</v>
      </c>
      <c r="E356">
        <v>5</v>
      </c>
      <c r="F356">
        <v>1.3</v>
      </c>
      <c r="G356">
        <v>5.9</v>
      </c>
      <c r="H356">
        <v>8333333</v>
      </c>
      <c r="I356">
        <v>0</v>
      </c>
    </row>
    <row r="357" spans="1:9">
      <c r="A357">
        <v>0</v>
      </c>
      <c r="B357">
        <v>0</v>
      </c>
      <c r="C357">
        <v>13</v>
      </c>
      <c r="D357">
        <v>11.8</v>
      </c>
      <c r="E357">
        <v>4.4000000000000004</v>
      </c>
      <c r="F357">
        <v>0.5</v>
      </c>
      <c r="G357">
        <v>5.8</v>
      </c>
      <c r="H357">
        <v>113171</v>
      </c>
      <c r="I357">
        <v>0</v>
      </c>
    </row>
    <row r="358" spans="1:9">
      <c r="A358">
        <v>1</v>
      </c>
      <c r="B358">
        <v>0</v>
      </c>
      <c r="C358">
        <v>61</v>
      </c>
      <c r="D358">
        <v>15.8</v>
      </c>
      <c r="E358">
        <v>3</v>
      </c>
      <c r="F358">
        <v>1.3</v>
      </c>
      <c r="G358">
        <v>5.8</v>
      </c>
      <c r="H358">
        <v>2654880</v>
      </c>
      <c r="I358">
        <v>1</v>
      </c>
    </row>
    <row r="359" spans="1:9">
      <c r="A359">
        <v>1</v>
      </c>
      <c r="B359">
        <v>0</v>
      </c>
      <c r="C359">
        <v>48</v>
      </c>
      <c r="D359">
        <v>14.6</v>
      </c>
      <c r="E359">
        <v>5.0999999999999996</v>
      </c>
      <c r="F359">
        <v>0.3</v>
      </c>
      <c r="G359">
        <v>5.8</v>
      </c>
      <c r="H359">
        <v>5000000</v>
      </c>
      <c r="I359">
        <v>0</v>
      </c>
    </row>
    <row r="360" spans="1:9">
      <c r="A360">
        <v>0</v>
      </c>
      <c r="B360">
        <v>0</v>
      </c>
      <c r="C360">
        <v>32</v>
      </c>
      <c r="D360">
        <v>22.8</v>
      </c>
      <c r="E360">
        <v>8.6</v>
      </c>
      <c r="F360">
        <v>1.5</v>
      </c>
      <c r="G360">
        <v>5.8</v>
      </c>
      <c r="H360">
        <v>14130434</v>
      </c>
      <c r="I360">
        <v>0</v>
      </c>
    </row>
    <row r="361" spans="1:9">
      <c r="A361">
        <v>0</v>
      </c>
      <c r="B361">
        <v>0</v>
      </c>
      <c r="C361">
        <v>42</v>
      </c>
      <c r="D361">
        <v>11.6</v>
      </c>
      <c r="E361">
        <v>3</v>
      </c>
      <c r="F361">
        <v>0.7</v>
      </c>
      <c r="G361">
        <v>5.8</v>
      </c>
      <c r="H361">
        <v>85300</v>
      </c>
      <c r="I361">
        <v>1</v>
      </c>
    </row>
    <row r="362" spans="1:9">
      <c r="A362">
        <v>0</v>
      </c>
      <c r="B362">
        <v>0</v>
      </c>
      <c r="C362">
        <v>70</v>
      </c>
      <c r="D362">
        <v>19.399999999999999</v>
      </c>
      <c r="E362">
        <v>4.2</v>
      </c>
      <c r="F362">
        <v>1.5</v>
      </c>
      <c r="G362">
        <v>5.8</v>
      </c>
      <c r="H362">
        <v>2657760</v>
      </c>
      <c r="I362">
        <v>1</v>
      </c>
    </row>
    <row r="363" spans="1:9">
      <c r="A363">
        <v>1</v>
      </c>
      <c r="B363">
        <v>0</v>
      </c>
      <c r="C363">
        <v>55</v>
      </c>
      <c r="D363">
        <v>17.3</v>
      </c>
      <c r="E363">
        <v>2.9</v>
      </c>
      <c r="F363">
        <v>1.3</v>
      </c>
      <c r="G363">
        <v>5.8</v>
      </c>
      <c r="H363">
        <v>2667947</v>
      </c>
      <c r="I363">
        <v>1</v>
      </c>
    </row>
    <row r="364" spans="1:9">
      <c r="A364">
        <v>0</v>
      </c>
      <c r="B364">
        <v>0</v>
      </c>
      <c r="C364">
        <v>57</v>
      </c>
      <c r="D364">
        <v>23.4</v>
      </c>
      <c r="E364">
        <v>3.6</v>
      </c>
      <c r="F364">
        <v>1.4</v>
      </c>
      <c r="G364">
        <v>5.8</v>
      </c>
      <c r="H364">
        <v>3132000</v>
      </c>
      <c r="I364">
        <v>1</v>
      </c>
    </row>
    <row r="365" spans="1:9">
      <c r="A365">
        <v>0</v>
      </c>
      <c r="B365">
        <v>1</v>
      </c>
      <c r="C365">
        <v>30</v>
      </c>
      <c r="D365">
        <v>16</v>
      </c>
      <c r="E365">
        <v>2</v>
      </c>
      <c r="F365">
        <v>0.9</v>
      </c>
      <c r="G365">
        <v>5.8</v>
      </c>
      <c r="H365">
        <v>11550000</v>
      </c>
      <c r="I365">
        <v>1</v>
      </c>
    </row>
    <row r="366" spans="1:9">
      <c r="A366">
        <v>1</v>
      </c>
      <c r="B366">
        <v>0</v>
      </c>
      <c r="C366">
        <v>64</v>
      </c>
      <c r="D366">
        <v>15.7</v>
      </c>
      <c r="E366">
        <v>2.9</v>
      </c>
      <c r="F366">
        <v>0.8</v>
      </c>
      <c r="G366">
        <v>5.8</v>
      </c>
      <c r="H366">
        <v>718150</v>
      </c>
      <c r="I366">
        <v>1</v>
      </c>
    </row>
    <row r="367" spans="1:9">
      <c r="A367">
        <v>1</v>
      </c>
      <c r="B367">
        <v>0</v>
      </c>
      <c r="C367">
        <v>59</v>
      </c>
      <c r="D367">
        <v>22.3</v>
      </c>
      <c r="E367">
        <v>4.2</v>
      </c>
      <c r="F367">
        <v>1.5</v>
      </c>
      <c r="G367">
        <v>5.8</v>
      </c>
      <c r="H367">
        <v>6623456</v>
      </c>
      <c r="I367">
        <v>1</v>
      </c>
    </row>
    <row r="368" spans="1:9">
      <c r="A368">
        <v>0</v>
      </c>
      <c r="B368">
        <v>1</v>
      </c>
      <c r="C368">
        <v>46</v>
      </c>
      <c r="D368">
        <v>14</v>
      </c>
      <c r="E368">
        <v>1.8</v>
      </c>
      <c r="F368">
        <v>1.8</v>
      </c>
      <c r="G368">
        <v>5.7</v>
      </c>
      <c r="H368">
        <v>574210</v>
      </c>
      <c r="I368">
        <v>1</v>
      </c>
    </row>
    <row r="369" spans="1:9">
      <c r="A369">
        <v>1</v>
      </c>
      <c r="B369">
        <v>0</v>
      </c>
      <c r="C369">
        <v>26</v>
      </c>
      <c r="D369">
        <v>13.4</v>
      </c>
      <c r="E369">
        <v>2.7</v>
      </c>
      <c r="F369">
        <v>0.9</v>
      </c>
      <c r="G369">
        <v>5.7</v>
      </c>
      <c r="H369">
        <v>792198</v>
      </c>
      <c r="I369">
        <v>1</v>
      </c>
    </row>
    <row r="370" spans="1:9">
      <c r="A370">
        <v>0</v>
      </c>
      <c r="B370">
        <v>0</v>
      </c>
      <c r="C370">
        <v>62</v>
      </c>
      <c r="D370">
        <v>14.7</v>
      </c>
      <c r="E370">
        <v>3.7</v>
      </c>
      <c r="F370">
        <v>0.8</v>
      </c>
      <c r="G370">
        <v>5.7</v>
      </c>
      <c r="H370">
        <v>1830377</v>
      </c>
      <c r="I370">
        <v>0</v>
      </c>
    </row>
    <row r="371" spans="1:9">
      <c r="A371">
        <v>0</v>
      </c>
      <c r="B371">
        <v>0</v>
      </c>
      <c r="C371">
        <v>29</v>
      </c>
      <c r="D371">
        <v>15.1</v>
      </c>
      <c r="E371">
        <v>1.3</v>
      </c>
      <c r="F371">
        <v>0.8</v>
      </c>
      <c r="G371">
        <v>5.7</v>
      </c>
      <c r="H371">
        <v>3634153</v>
      </c>
      <c r="I371">
        <v>1</v>
      </c>
    </row>
    <row r="372" spans="1:9">
      <c r="A372">
        <v>0</v>
      </c>
      <c r="B372">
        <v>0</v>
      </c>
      <c r="C372">
        <v>66</v>
      </c>
      <c r="D372">
        <v>19.7</v>
      </c>
      <c r="E372">
        <v>5.8</v>
      </c>
      <c r="F372">
        <v>1.3</v>
      </c>
      <c r="G372">
        <v>5.7</v>
      </c>
      <c r="H372">
        <v>3353040</v>
      </c>
      <c r="I372">
        <v>0</v>
      </c>
    </row>
    <row r="373" spans="1:9">
      <c r="A373">
        <v>1</v>
      </c>
      <c r="B373">
        <v>0</v>
      </c>
      <c r="C373">
        <v>60</v>
      </c>
      <c r="D373">
        <v>19.600000000000001</v>
      </c>
      <c r="E373">
        <v>8.8000000000000007</v>
      </c>
      <c r="F373">
        <v>0.9</v>
      </c>
      <c r="G373">
        <v>5.7</v>
      </c>
      <c r="H373">
        <v>12954546</v>
      </c>
      <c r="I373">
        <v>1</v>
      </c>
    </row>
    <row r="374" spans="1:9">
      <c r="A374">
        <v>1</v>
      </c>
      <c r="B374">
        <v>0</v>
      </c>
      <c r="C374">
        <v>67</v>
      </c>
      <c r="D374">
        <v>15</v>
      </c>
      <c r="E374">
        <v>3.5</v>
      </c>
      <c r="F374">
        <v>0.9</v>
      </c>
      <c r="G374">
        <v>5.6</v>
      </c>
      <c r="H374">
        <v>5500000</v>
      </c>
      <c r="I374">
        <v>0</v>
      </c>
    </row>
    <row r="375" spans="1:9">
      <c r="A375">
        <v>0</v>
      </c>
      <c r="B375">
        <v>1</v>
      </c>
      <c r="C375">
        <v>43</v>
      </c>
      <c r="D375">
        <v>12.5</v>
      </c>
      <c r="E375">
        <v>1.1000000000000001</v>
      </c>
      <c r="F375">
        <v>0.9</v>
      </c>
      <c r="G375">
        <v>5.6</v>
      </c>
      <c r="H375">
        <v>2674080</v>
      </c>
      <c r="I375">
        <v>1</v>
      </c>
    </row>
    <row r="376" spans="1:9">
      <c r="A376">
        <v>1</v>
      </c>
      <c r="B376">
        <v>1</v>
      </c>
      <c r="C376">
        <v>70</v>
      </c>
      <c r="D376">
        <v>16.3</v>
      </c>
      <c r="E376">
        <v>2.5</v>
      </c>
      <c r="F376">
        <v>2.6</v>
      </c>
      <c r="G376">
        <v>5.6</v>
      </c>
      <c r="H376">
        <v>2378870</v>
      </c>
      <c r="I376">
        <v>1</v>
      </c>
    </row>
    <row r="377" spans="1:9">
      <c r="A377">
        <v>1</v>
      </c>
      <c r="B377">
        <v>1</v>
      </c>
      <c r="C377">
        <v>6</v>
      </c>
      <c r="D377">
        <v>12.3</v>
      </c>
      <c r="E377">
        <v>0.3</v>
      </c>
      <c r="F377">
        <v>0.5</v>
      </c>
      <c r="G377">
        <v>5.5</v>
      </c>
      <c r="H377">
        <v>3634153</v>
      </c>
      <c r="I377">
        <v>1</v>
      </c>
    </row>
    <row r="378" spans="1:9">
      <c r="A378">
        <v>0</v>
      </c>
      <c r="B378">
        <v>1</v>
      </c>
      <c r="C378">
        <v>23</v>
      </c>
      <c r="D378">
        <v>17.7</v>
      </c>
      <c r="E378">
        <v>2.2999999999999998</v>
      </c>
      <c r="F378">
        <v>3.5</v>
      </c>
      <c r="G378">
        <v>5.5</v>
      </c>
      <c r="H378">
        <v>444658</v>
      </c>
      <c r="I378">
        <v>1</v>
      </c>
    </row>
    <row r="379" spans="1:9">
      <c r="A379">
        <v>0</v>
      </c>
      <c r="B379">
        <v>1</v>
      </c>
      <c r="C379">
        <v>57</v>
      </c>
      <c r="D379">
        <v>13.7</v>
      </c>
      <c r="E379">
        <v>1</v>
      </c>
      <c r="F379">
        <v>1.1000000000000001</v>
      </c>
      <c r="G379">
        <v>5.5</v>
      </c>
      <c r="H379">
        <v>3080921</v>
      </c>
      <c r="I379">
        <v>1</v>
      </c>
    </row>
    <row r="380" spans="1:9">
      <c r="A380">
        <v>1</v>
      </c>
      <c r="B380">
        <v>0</v>
      </c>
      <c r="C380">
        <v>55</v>
      </c>
      <c r="D380">
        <v>12.6</v>
      </c>
      <c r="E380">
        <v>1.6</v>
      </c>
      <c r="F380">
        <v>0.8</v>
      </c>
      <c r="G380">
        <v>5.5</v>
      </c>
      <c r="H380">
        <v>5529720</v>
      </c>
      <c r="I380">
        <v>1</v>
      </c>
    </row>
    <row r="381" spans="1:9">
      <c r="A381">
        <v>0</v>
      </c>
      <c r="B381">
        <v>0</v>
      </c>
      <c r="C381">
        <v>64</v>
      </c>
      <c r="D381">
        <v>22.1</v>
      </c>
      <c r="E381">
        <v>3.3</v>
      </c>
      <c r="F381">
        <v>0.8</v>
      </c>
      <c r="G381">
        <v>5.5</v>
      </c>
      <c r="H381">
        <v>623967</v>
      </c>
      <c r="I381">
        <v>1</v>
      </c>
    </row>
    <row r="382" spans="1:9">
      <c r="A382">
        <v>1</v>
      </c>
      <c r="B382">
        <v>1</v>
      </c>
      <c r="C382">
        <v>53</v>
      </c>
      <c r="D382">
        <v>12.6</v>
      </c>
      <c r="E382">
        <v>1.7</v>
      </c>
      <c r="F382">
        <v>1.6</v>
      </c>
      <c r="G382">
        <v>5.5</v>
      </c>
      <c r="H382">
        <v>8000000</v>
      </c>
      <c r="I382">
        <v>1</v>
      </c>
    </row>
    <row r="383" spans="1:9">
      <c r="A383">
        <v>1</v>
      </c>
      <c r="B383">
        <v>1</v>
      </c>
      <c r="C383">
        <v>77</v>
      </c>
      <c r="D383">
        <v>18.600000000000001</v>
      </c>
      <c r="E383">
        <v>3.5</v>
      </c>
      <c r="F383">
        <v>1.5</v>
      </c>
      <c r="G383">
        <v>5.5</v>
      </c>
      <c r="H383">
        <v>2619000</v>
      </c>
      <c r="I383">
        <v>1</v>
      </c>
    </row>
    <row r="384" spans="1:9">
      <c r="A384">
        <v>1</v>
      </c>
      <c r="B384">
        <v>0</v>
      </c>
      <c r="C384">
        <v>40</v>
      </c>
      <c r="D384">
        <v>12.2</v>
      </c>
      <c r="E384">
        <v>2</v>
      </c>
      <c r="F384">
        <v>0.7</v>
      </c>
      <c r="G384">
        <v>5.4</v>
      </c>
      <c r="H384">
        <v>328120</v>
      </c>
      <c r="I384">
        <v>1</v>
      </c>
    </row>
    <row r="385" spans="1:9">
      <c r="A385">
        <v>0</v>
      </c>
      <c r="B385">
        <v>0</v>
      </c>
      <c r="C385">
        <v>44</v>
      </c>
      <c r="D385">
        <v>20.6</v>
      </c>
      <c r="E385">
        <v>7.5</v>
      </c>
      <c r="F385">
        <v>1.4</v>
      </c>
      <c r="G385">
        <v>5.4</v>
      </c>
      <c r="H385">
        <v>871000</v>
      </c>
      <c r="I385">
        <v>1</v>
      </c>
    </row>
    <row r="386" spans="1:9">
      <c r="A386">
        <v>0</v>
      </c>
      <c r="B386">
        <v>0</v>
      </c>
      <c r="C386">
        <v>7</v>
      </c>
      <c r="D386">
        <v>13</v>
      </c>
      <c r="E386">
        <v>1.9</v>
      </c>
      <c r="F386">
        <v>1</v>
      </c>
      <c r="G386">
        <v>5.4</v>
      </c>
      <c r="H386">
        <v>827984</v>
      </c>
      <c r="I386">
        <v>1</v>
      </c>
    </row>
    <row r="387" spans="1:9">
      <c r="A387">
        <v>1</v>
      </c>
      <c r="B387">
        <v>1</v>
      </c>
      <c r="C387">
        <v>82</v>
      </c>
      <c r="D387">
        <v>22.5</v>
      </c>
      <c r="E387">
        <v>3.5</v>
      </c>
      <c r="F387">
        <v>2</v>
      </c>
      <c r="G387">
        <v>5.4</v>
      </c>
      <c r="H387">
        <v>2296274</v>
      </c>
      <c r="I387">
        <v>1</v>
      </c>
    </row>
    <row r="388" spans="1:9">
      <c r="A388">
        <v>1</v>
      </c>
      <c r="B388">
        <v>0</v>
      </c>
      <c r="C388">
        <v>47</v>
      </c>
      <c r="D388">
        <v>15.7</v>
      </c>
      <c r="E388">
        <v>2.7</v>
      </c>
      <c r="F388">
        <v>1</v>
      </c>
      <c r="G388">
        <v>5.4</v>
      </c>
      <c r="H388">
        <v>600000</v>
      </c>
      <c r="I388">
        <v>1</v>
      </c>
    </row>
    <row r="389" spans="1:9">
      <c r="A389">
        <v>1</v>
      </c>
      <c r="B389">
        <v>1</v>
      </c>
      <c r="C389">
        <v>50</v>
      </c>
      <c r="D389">
        <v>10.9</v>
      </c>
      <c r="E389">
        <v>1.3</v>
      </c>
      <c r="F389">
        <v>1.5</v>
      </c>
      <c r="G389">
        <v>5.4</v>
      </c>
      <c r="H389">
        <v>1272870</v>
      </c>
      <c r="I389">
        <v>0</v>
      </c>
    </row>
    <row r="390" spans="1:9">
      <c r="A390">
        <v>1</v>
      </c>
      <c r="B390">
        <v>0</v>
      </c>
      <c r="C390">
        <v>68</v>
      </c>
      <c r="D390">
        <v>17.8</v>
      </c>
      <c r="E390">
        <v>4</v>
      </c>
      <c r="F390">
        <v>0.8</v>
      </c>
      <c r="G390">
        <v>5.4</v>
      </c>
      <c r="H390">
        <v>2221677</v>
      </c>
      <c r="I390">
        <v>1</v>
      </c>
    </row>
    <row r="391" spans="1:9">
      <c r="A391">
        <v>0</v>
      </c>
      <c r="B391">
        <v>1</v>
      </c>
      <c r="C391">
        <v>9</v>
      </c>
      <c r="D391">
        <v>12.3</v>
      </c>
      <c r="E391">
        <v>1.2</v>
      </c>
      <c r="F391">
        <v>1</v>
      </c>
      <c r="G391">
        <v>5.2</v>
      </c>
      <c r="H391">
        <v>85300</v>
      </c>
      <c r="I391">
        <v>1</v>
      </c>
    </row>
    <row r="392" spans="1:9">
      <c r="A392">
        <v>0</v>
      </c>
      <c r="B392">
        <v>0</v>
      </c>
      <c r="C392">
        <v>42</v>
      </c>
      <c r="D392">
        <v>13.1</v>
      </c>
      <c r="E392">
        <v>3</v>
      </c>
      <c r="F392">
        <v>0.5</v>
      </c>
      <c r="G392">
        <v>5.2</v>
      </c>
      <c r="H392">
        <v>3080921</v>
      </c>
      <c r="I392">
        <v>1</v>
      </c>
    </row>
    <row r="393" spans="1:9">
      <c r="A393">
        <v>0</v>
      </c>
      <c r="B393">
        <v>0</v>
      </c>
      <c r="C393">
        <v>5</v>
      </c>
      <c r="D393">
        <v>33.799999999999997</v>
      </c>
      <c r="E393">
        <v>8.4</v>
      </c>
      <c r="F393">
        <v>2.8</v>
      </c>
      <c r="G393">
        <v>5.2</v>
      </c>
      <c r="H393">
        <v>73153</v>
      </c>
      <c r="I393">
        <v>0</v>
      </c>
    </row>
    <row r="394" spans="1:9">
      <c r="A394">
        <v>1</v>
      </c>
      <c r="B394">
        <v>1</v>
      </c>
      <c r="C394">
        <v>15</v>
      </c>
      <c r="D394">
        <v>13.1</v>
      </c>
      <c r="E394">
        <v>1.1000000000000001</v>
      </c>
      <c r="F394">
        <v>0.7</v>
      </c>
      <c r="G394">
        <v>5.2</v>
      </c>
      <c r="H394">
        <v>297355</v>
      </c>
      <c r="I394">
        <v>1</v>
      </c>
    </row>
    <row r="395" spans="1:9">
      <c r="A395">
        <v>1</v>
      </c>
      <c r="B395">
        <v>0</v>
      </c>
      <c r="C395">
        <v>44</v>
      </c>
      <c r="D395">
        <v>11.4</v>
      </c>
      <c r="E395">
        <v>2.2000000000000002</v>
      </c>
      <c r="F395">
        <v>0.6</v>
      </c>
      <c r="G395">
        <v>5.2</v>
      </c>
      <c r="H395">
        <v>3237480</v>
      </c>
      <c r="I395">
        <v>1</v>
      </c>
    </row>
    <row r="396" spans="1:9">
      <c r="A396">
        <v>0</v>
      </c>
      <c r="B396">
        <v>1</v>
      </c>
      <c r="C396">
        <v>50</v>
      </c>
      <c r="D396">
        <v>16.100000000000001</v>
      </c>
      <c r="E396">
        <v>2.2999999999999998</v>
      </c>
      <c r="F396">
        <v>2.2999999999999998</v>
      </c>
      <c r="G396">
        <v>5.2</v>
      </c>
      <c r="H396">
        <v>2221677</v>
      </c>
      <c r="I396">
        <v>1</v>
      </c>
    </row>
    <row r="397" spans="1:9">
      <c r="A397">
        <v>1</v>
      </c>
      <c r="B397">
        <v>1</v>
      </c>
      <c r="C397">
        <v>38</v>
      </c>
      <c r="D397">
        <v>12</v>
      </c>
      <c r="E397">
        <v>1</v>
      </c>
      <c r="F397">
        <v>2</v>
      </c>
      <c r="G397">
        <v>5.2</v>
      </c>
      <c r="H397">
        <v>2886720</v>
      </c>
      <c r="I397">
        <v>1</v>
      </c>
    </row>
    <row r="398" spans="1:9">
      <c r="A398">
        <v>0</v>
      </c>
      <c r="B398">
        <v>1</v>
      </c>
      <c r="C398">
        <v>10</v>
      </c>
      <c r="D398">
        <v>16</v>
      </c>
      <c r="E398">
        <v>1.9</v>
      </c>
      <c r="F398">
        <v>4.4000000000000004</v>
      </c>
      <c r="G398">
        <v>5.2</v>
      </c>
      <c r="H398">
        <v>5182920</v>
      </c>
      <c r="I398">
        <v>0</v>
      </c>
    </row>
    <row r="399" spans="1:9">
      <c r="A399">
        <v>1</v>
      </c>
      <c r="B399">
        <v>1</v>
      </c>
      <c r="C399">
        <v>62</v>
      </c>
      <c r="D399">
        <v>15.7</v>
      </c>
      <c r="E399">
        <v>2.2999999999999998</v>
      </c>
      <c r="F399">
        <v>0.8</v>
      </c>
      <c r="G399">
        <v>5.0999999999999996</v>
      </c>
      <c r="H399">
        <v>6383525</v>
      </c>
      <c r="I399">
        <v>1</v>
      </c>
    </row>
    <row r="400" spans="1:9">
      <c r="A400">
        <v>0</v>
      </c>
      <c r="B400">
        <v>0</v>
      </c>
      <c r="C400">
        <v>75</v>
      </c>
      <c r="D400">
        <v>19.100000000000001</v>
      </c>
      <c r="E400">
        <v>2.2000000000000002</v>
      </c>
      <c r="F400">
        <v>1.5</v>
      </c>
      <c r="G400">
        <v>5.0999999999999996</v>
      </c>
      <c r="H400">
        <v>686243</v>
      </c>
      <c r="I400">
        <v>0</v>
      </c>
    </row>
    <row r="401" spans="1:9">
      <c r="A401">
        <v>1</v>
      </c>
      <c r="B401">
        <v>1</v>
      </c>
      <c r="C401">
        <v>35</v>
      </c>
      <c r="D401">
        <v>18.399999999999999</v>
      </c>
      <c r="E401">
        <v>4.4000000000000004</v>
      </c>
      <c r="F401">
        <v>1.2</v>
      </c>
      <c r="G401">
        <v>5.0999999999999996</v>
      </c>
      <c r="H401">
        <v>1955377</v>
      </c>
      <c r="I401">
        <v>0</v>
      </c>
    </row>
    <row r="402" spans="1:9">
      <c r="A402">
        <v>0</v>
      </c>
      <c r="B402">
        <v>1</v>
      </c>
      <c r="C402">
        <v>51</v>
      </c>
      <c r="D402">
        <v>13.6</v>
      </c>
      <c r="E402">
        <v>1.7</v>
      </c>
      <c r="F402">
        <v>0.8</v>
      </c>
      <c r="G402">
        <v>5.0999999999999996</v>
      </c>
      <c r="H402">
        <v>4741320</v>
      </c>
      <c r="I402">
        <v>1</v>
      </c>
    </row>
    <row r="403" spans="1:9">
      <c r="A403">
        <v>1</v>
      </c>
      <c r="B403">
        <v>0</v>
      </c>
      <c r="C403">
        <v>67</v>
      </c>
      <c r="D403">
        <v>19.7</v>
      </c>
      <c r="E403">
        <v>5.5</v>
      </c>
      <c r="F403">
        <v>1.6</v>
      </c>
      <c r="G403">
        <v>5</v>
      </c>
      <c r="H403">
        <v>2461463</v>
      </c>
      <c r="I403">
        <v>1</v>
      </c>
    </row>
    <row r="404" spans="1:9">
      <c r="A404">
        <v>1</v>
      </c>
      <c r="B404">
        <v>0</v>
      </c>
      <c r="C404">
        <v>71</v>
      </c>
      <c r="D404">
        <v>17.399999999999999</v>
      </c>
      <c r="E404">
        <v>4.3</v>
      </c>
      <c r="F404">
        <v>0.5</v>
      </c>
      <c r="G404">
        <v>4.8</v>
      </c>
      <c r="H404">
        <v>1955377</v>
      </c>
      <c r="I404">
        <v>0</v>
      </c>
    </row>
    <row r="405" spans="1:9">
      <c r="A405">
        <v>0</v>
      </c>
      <c r="B405">
        <v>1</v>
      </c>
      <c r="C405">
        <v>31</v>
      </c>
      <c r="D405">
        <v>11.6</v>
      </c>
      <c r="E405">
        <v>1.3</v>
      </c>
      <c r="F405">
        <v>2</v>
      </c>
      <c r="G405">
        <v>4.8</v>
      </c>
      <c r="H405">
        <v>2378870</v>
      </c>
      <c r="I405">
        <v>1</v>
      </c>
    </row>
    <row r="406" spans="1:9">
      <c r="A406">
        <v>0</v>
      </c>
      <c r="B406">
        <v>0</v>
      </c>
      <c r="C406">
        <v>12</v>
      </c>
      <c r="D406">
        <v>13.8</v>
      </c>
      <c r="E406">
        <v>2.8</v>
      </c>
      <c r="F406">
        <v>0.4</v>
      </c>
      <c r="G406">
        <v>4.7</v>
      </c>
      <c r="H406">
        <v>2197957</v>
      </c>
      <c r="I406">
        <v>1</v>
      </c>
    </row>
    <row r="407" spans="1:9">
      <c r="A407">
        <v>1</v>
      </c>
      <c r="B407">
        <v>1</v>
      </c>
      <c r="C407">
        <v>35</v>
      </c>
      <c r="D407">
        <v>20.8</v>
      </c>
      <c r="E407">
        <v>4</v>
      </c>
      <c r="F407">
        <v>3.9</v>
      </c>
      <c r="G407">
        <v>4.5999999999999996</v>
      </c>
      <c r="H407">
        <v>10000000</v>
      </c>
      <c r="I407">
        <v>1</v>
      </c>
    </row>
    <row r="408" spans="1:9">
      <c r="A408">
        <v>1</v>
      </c>
      <c r="B408">
        <v>1</v>
      </c>
      <c r="C408">
        <v>28</v>
      </c>
      <c r="D408">
        <v>9.8000000000000007</v>
      </c>
      <c r="E408">
        <v>1.6</v>
      </c>
      <c r="F408">
        <v>0.8</v>
      </c>
      <c r="G408">
        <v>4.5999999999999996</v>
      </c>
      <c r="H408">
        <v>4933515</v>
      </c>
      <c r="I408">
        <v>1</v>
      </c>
    </row>
    <row r="409" spans="1:9">
      <c r="A409">
        <v>0</v>
      </c>
      <c r="B409">
        <v>1</v>
      </c>
      <c r="C409">
        <v>5</v>
      </c>
      <c r="D409">
        <v>8.6</v>
      </c>
      <c r="E409">
        <v>0.6</v>
      </c>
      <c r="F409">
        <v>1.8</v>
      </c>
      <c r="G409">
        <v>4.5999999999999996</v>
      </c>
      <c r="H409">
        <v>157280</v>
      </c>
      <c r="I409">
        <v>1</v>
      </c>
    </row>
    <row r="410" spans="1:9">
      <c r="A410">
        <v>1</v>
      </c>
      <c r="B410">
        <v>0</v>
      </c>
      <c r="C410">
        <v>19</v>
      </c>
      <c r="D410">
        <v>11.3</v>
      </c>
      <c r="E410">
        <v>3.9</v>
      </c>
      <c r="F410">
        <v>0.5</v>
      </c>
      <c r="G410">
        <v>4.5</v>
      </c>
      <c r="H410">
        <v>85300</v>
      </c>
      <c r="I410">
        <v>1</v>
      </c>
    </row>
    <row r="411" spans="1:9">
      <c r="A411">
        <v>0</v>
      </c>
      <c r="B411">
        <v>0</v>
      </c>
      <c r="C411">
        <v>38</v>
      </c>
      <c r="D411">
        <v>13.9</v>
      </c>
      <c r="E411">
        <v>5.7</v>
      </c>
      <c r="F411">
        <v>0.2</v>
      </c>
      <c r="G411">
        <v>4.5</v>
      </c>
      <c r="H411">
        <v>85300</v>
      </c>
      <c r="I411">
        <v>0</v>
      </c>
    </row>
    <row r="412" spans="1:9">
      <c r="A412">
        <v>0</v>
      </c>
      <c r="B412">
        <v>1</v>
      </c>
      <c r="C412">
        <v>54</v>
      </c>
      <c r="D412">
        <v>18.399999999999999</v>
      </c>
      <c r="E412">
        <v>1.7</v>
      </c>
      <c r="F412">
        <v>2.9</v>
      </c>
      <c r="G412">
        <v>4.5</v>
      </c>
      <c r="H412">
        <v>1148727</v>
      </c>
      <c r="I412">
        <v>1</v>
      </c>
    </row>
    <row r="413" spans="1:9">
      <c r="A413">
        <v>0</v>
      </c>
      <c r="B413">
        <v>1</v>
      </c>
      <c r="C413">
        <v>78</v>
      </c>
      <c r="D413">
        <v>17.399999999999999</v>
      </c>
      <c r="E413">
        <v>2.6</v>
      </c>
      <c r="F413">
        <v>0.9</v>
      </c>
      <c r="G413">
        <v>4.5</v>
      </c>
      <c r="H413">
        <v>3080921</v>
      </c>
      <c r="I413">
        <v>0</v>
      </c>
    </row>
    <row r="414" spans="1:9">
      <c r="A414">
        <v>1</v>
      </c>
      <c r="B414">
        <v>1</v>
      </c>
      <c r="C414">
        <v>38</v>
      </c>
      <c r="D414">
        <v>12.9</v>
      </c>
      <c r="E414">
        <v>1.6</v>
      </c>
      <c r="F414">
        <v>1.1000000000000001</v>
      </c>
      <c r="G414">
        <v>4.5</v>
      </c>
      <c r="H414">
        <v>85300</v>
      </c>
      <c r="I414">
        <v>1</v>
      </c>
    </row>
    <row r="415" spans="1:9">
      <c r="A415">
        <v>1</v>
      </c>
      <c r="B415">
        <v>1</v>
      </c>
      <c r="C415">
        <v>64</v>
      </c>
      <c r="D415">
        <v>17.899999999999999</v>
      </c>
      <c r="E415">
        <v>3.4</v>
      </c>
      <c r="F415">
        <v>3.2</v>
      </c>
      <c r="G415">
        <v>4.5</v>
      </c>
      <c r="H415">
        <v>2221677</v>
      </c>
      <c r="I415">
        <v>1</v>
      </c>
    </row>
    <row r="416" spans="1:9">
      <c r="A416">
        <v>0</v>
      </c>
      <c r="B416">
        <v>1</v>
      </c>
      <c r="C416">
        <v>56</v>
      </c>
      <c r="D416">
        <v>19.899999999999999</v>
      </c>
      <c r="E416">
        <v>4.3</v>
      </c>
      <c r="F416">
        <v>2.1</v>
      </c>
      <c r="G416">
        <v>4.4000000000000004</v>
      </c>
      <c r="H416">
        <v>6165000</v>
      </c>
      <c r="I416">
        <v>1</v>
      </c>
    </row>
    <row r="417" spans="1:9">
      <c r="A417">
        <v>1</v>
      </c>
      <c r="B417">
        <v>1</v>
      </c>
      <c r="C417">
        <v>53</v>
      </c>
      <c r="D417">
        <v>16.600000000000001</v>
      </c>
      <c r="E417">
        <v>1</v>
      </c>
      <c r="F417">
        <v>1.4</v>
      </c>
      <c r="G417">
        <v>4.4000000000000004</v>
      </c>
      <c r="H417">
        <v>11500000</v>
      </c>
      <c r="I417">
        <v>1</v>
      </c>
    </row>
    <row r="418" spans="1:9">
      <c r="A418">
        <v>1</v>
      </c>
      <c r="B418">
        <v>0</v>
      </c>
      <c r="C418">
        <v>77</v>
      </c>
      <c r="D418">
        <v>15.3</v>
      </c>
      <c r="E418">
        <v>3.6</v>
      </c>
      <c r="F418">
        <v>0.9</v>
      </c>
      <c r="G418">
        <v>4.4000000000000004</v>
      </c>
      <c r="H418">
        <v>2221677</v>
      </c>
      <c r="I418">
        <v>0</v>
      </c>
    </row>
    <row r="419" spans="1:9">
      <c r="A419">
        <v>1</v>
      </c>
      <c r="B419">
        <v>1</v>
      </c>
      <c r="C419">
        <v>37</v>
      </c>
      <c r="D419">
        <v>16.600000000000001</v>
      </c>
      <c r="E419">
        <v>1.6</v>
      </c>
      <c r="F419">
        <v>3.2</v>
      </c>
      <c r="G419">
        <v>4.4000000000000004</v>
      </c>
      <c r="H419">
        <v>1272870</v>
      </c>
      <c r="I419">
        <v>1</v>
      </c>
    </row>
    <row r="420" spans="1:9">
      <c r="A420">
        <v>0</v>
      </c>
      <c r="B420">
        <v>0</v>
      </c>
      <c r="C420">
        <v>12</v>
      </c>
      <c r="D420">
        <v>16.600000000000001</v>
      </c>
      <c r="E420">
        <v>6.3</v>
      </c>
      <c r="F420">
        <v>0.9</v>
      </c>
      <c r="G420">
        <v>4.4000000000000004</v>
      </c>
      <c r="H420">
        <v>3592381</v>
      </c>
      <c r="I420">
        <v>1</v>
      </c>
    </row>
    <row r="421" spans="1:9">
      <c r="A421">
        <v>1</v>
      </c>
      <c r="B421">
        <v>1</v>
      </c>
      <c r="C421">
        <v>62</v>
      </c>
      <c r="D421">
        <v>11.7</v>
      </c>
      <c r="E421">
        <v>1.6</v>
      </c>
      <c r="F421">
        <v>2.7</v>
      </c>
      <c r="G421">
        <v>4.4000000000000004</v>
      </c>
      <c r="H421">
        <v>2191897</v>
      </c>
      <c r="I421">
        <v>1</v>
      </c>
    </row>
    <row r="422" spans="1:9">
      <c r="A422">
        <v>1</v>
      </c>
      <c r="B422">
        <v>1</v>
      </c>
      <c r="C422">
        <v>54</v>
      </c>
      <c r="D422">
        <v>10.9</v>
      </c>
      <c r="E422">
        <v>1.2</v>
      </c>
      <c r="F422">
        <v>1.1000000000000001</v>
      </c>
      <c r="G422">
        <v>4.4000000000000004</v>
      </c>
      <c r="H422">
        <v>2983320</v>
      </c>
      <c r="I422">
        <v>1</v>
      </c>
    </row>
    <row r="423" spans="1:9">
      <c r="A423">
        <v>0</v>
      </c>
      <c r="B423">
        <v>0</v>
      </c>
      <c r="C423">
        <v>65</v>
      </c>
      <c r="D423">
        <v>17.399999999999999</v>
      </c>
      <c r="E423">
        <v>4.5</v>
      </c>
      <c r="F423">
        <v>1.3</v>
      </c>
      <c r="G423">
        <v>4.4000000000000004</v>
      </c>
      <c r="H423">
        <v>11571429</v>
      </c>
      <c r="I423">
        <v>1</v>
      </c>
    </row>
    <row r="424" spans="1:9">
      <c r="A424">
        <v>0</v>
      </c>
      <c r="B424">
        <v>0</v>
      </c>
      <c r="C424">
        <v>55</v>
      </c>
      <c r="D424">
        <v>12.2</v>
      </c>
      <c r="E424">
        <v>2.2999999999999998</v>
      </c>
      <c r="F424">
        <v>0.3</v>
      </c>
      <c r="G424">
        <v>4.3</v>
      </c>
      <c r="H424">
        <v>1272870</v>
      </c>
      <c r="I424">
        <v>1</v>
      </c>
    </row>
    <row r="425" spans="1:9">
      <c r="A425">
        <v>1</v>
      </c>
      <c r="B425">
        <v>1</v>
      </c>
      <c r="C425">
        <v>58</v>
      </c>
      <c r="D425">
        <v>15.7</v>
      </c>
      <c r="E425">
        <v>1.8</v>
      </c>
      <c r="F425">
        <v>0.8</v>
      </c>
      <c r="G425">
        <v>4.3</v>
      </c>
      <c r="H425">
        <v>13666667</v>
      </c>
      <c r="I425">
        <v>0</v>
      </c>
    </row>
    <row r="426" spans="1:9">
      <c r="A426">
        <v>1</v>
      </c>
      <c r="B426">
        <v>0</v>
      </c>
      <c r="C426">
        <v>32</v>
      </c>
      <c r="D426">
        <v>8.8000000000000007</v>
      </c>
      <c r="E426">
        <v>1.9</v>
      </c>
      <c r="F426">
        <v>0.3</v>
      </c>
      <c r="G426">
        <v>4.3</v>
      </c>
      <c r="H426">
        <v>1955377</v>
      </c>
      <c r="I426">
        <v>1</v>
      </c>
    </row>
    <row r="427" spans="1:9">
      <c r="A427">
        <v>0</v>
      </c>
      <c r="B427">
        <v>0</v>
      </c>
      <c r="C427">
        <v>41</v>
      </c>
      <c r="D427">
        <v>10.3</v>
      </c>
      <c r="E427">
        <v>2.9</v>
      </c>
      <c r="F427">
        <v>0.3</v>
      </c>
      <c r="G427">
        <v>4.3</v>
      </c>
      <c r="H427">
        <v>2743800</v>
      </c>
      <c r="I427">
        <v>0</v>
      </c>
    </row>
    <row r="428" spans="1:9">
      <c r="A428">
        <v>1</v>
      </c>
      <c r="B428">
        <v>0</v>
      </c>
      <c r="C428">
        <v>3</v>
      </c>
      <c r="D428">
        <v>12.7</v>
      </c>
      <c r="E428">
        <v>3</v>
      </c>
      <c r="F428">
        <v>1</v>
      </c>
      <c r="G428">
        <v>4.3</v>
      </c>
      <c r="H428">
        <v>153330</v>
      </c>
      <c r="I428">
        <v>0</v>
      </c>
    </row>
    <row r="429" spans="1:9">
      <c r="A429">
        <v>0</v>
      </c>
      <c r="B429">
        <v>0</v>
      </c>
      <c r="C429">
        <v>7</v>
      </c>
      <c r="D429">
        <v>16.399999999999999</v>
      </c>
      <c r="E429">
        <v>5.3</v>
      </c>
      <c r="F429">
        <v>1.9</v>
      </c>
      <c r="G429">
        <v>4.3</v>
      </c>
      <c r="H429">
        <v>5253360</v>
      </c>
      <c r="I429">
        <v>1</v>
      </c>
    </row>
    <row r="430" spans="1:9">
      <c r="A430">
        <v>1</v>
      </c>
      <c r="B430">
        <v>0</v>
      </c>
      <c r="C430">
        <v>31</v>
      </c>
      <c r="D430">
        <v>11.9</v>
      </c>
      <c r="E430">
        <v>2.4</v>
      </c>
      <c r="F430">
        <v>0.8</v>
      </c>
      <c r="G430">
        <v>4.3</v>
      </c>
      <c r="H430">
        <v>2763960</v>
      </c>
      <c r="I430">
        <v>1</v>
      </c>
    </row>
    <row r="431" spans="1:9">
      <c r="A431">
        <v>1</v>
      </c>
      <c r="B431">
        <v>0</v>
      </c>
      <c r="C431">
        <v>4</v>
      </c>
      <c r="D431">
        <v>8.8000000000000007</v>
      </c>
      <c r="E431">
        <v>1.5</v>
      </c>
      <c r="F431">
        <v>1.3</v>
      </c>
      <c r="G431">
        <v>4.3</v>
      </c>
      <c r="H431">
        <v>636435</v>
      </c>
      <c r="I431">
        <v>1</v>
      </c>
    </row>
    <row r="432" spans="1:9">
      <c r="A432">
        <v>0</v>
      </c>
      <c r="B432">
        <v>1</v>
      </c>
      <c r="C432">
        <v>61</v>
      </c>
      <c r="D432">
        <v>15</v>
      </c>
      <c r="E432">
        <v>1.9</v>
      </c>
      <c r="F432">
        <v>1</v>
      </c>
      <c r="G432">
        <v>4.3</v>
      </c>
      <c r="H432">
        <v>1272870</v>
      </c>
      <c r="I432">
        <v>1</v>
      </c>
    </row>
    <row r="433" spans="1:9">
      <c r="A433">
        <v>1</v>
      </c>
      <c r="B433">
        <v>0</v>
      </c>
      <c r="C433">
        <v>64</v>
      </c>
      <c r="D433">
        <v>11.9</v>
      </c>
      <c r="E433">
        <v>3</v>
      </c>
      <c r="F433">
        <v>0.5</v>
      </c>
      <c r="G433">
        <v>4.3</v>
      </c>
      <c r="H433">
        <v>724598</v>
      </c>
      <c r="I433">
        <v>1</v>
      </c>
    </row>
    <row r="434" spans="1:9">
      <c r="A434">
        <v>0</v>
      </c>
      <c r="B434">
        <v>0</v>
      </c>
      <c r="C434">
        <v>71</v>
      </c>
      <c r="D434">
        <v>11.5</v>
      </c>
      <c r="E434">
        <v>2.5</v>
      </c>
      <c r="F434">
        <v>0.7</v>
      </c>
      <c r="G434">
        <v>4.2</v>
      </c>
      <c r="H434">
        <v>4900320</v>
      </c>
      <c r="I434">
        <v>1</v>
      </c>
    </row>
    <row r="435" spans="1:9">
      <c r="A435">
        <v>1</v>
      </c>
      <c r="B435">
        <v>0</v>
      </c>
      <c r="C435">
        <v>29</v>
      </c>
      <c r="D435">
        <v>11</v>
      </c>
      <c r="E435">
        <v>1.7</v>
      </c>
      <c r="F435">
        <v>0.8</v>
      </c>
      <c r="G435">
        <v>4.2</v>
      </c>
      <c r="H435">
        <v>123045</v>
      </c>
      <c r="I435">
        <v>1</v>
      </c>
    </row>
    <row r="436" spans="1:9">
      <c r="A436">
        <v>0</v>
      </c>
      <c r="B436">
        <v>0</v>
      </c>
      <c r="C436">
        <v>54</v>
      </c>
      <c r="D436">
        <v>10.199999999999999</v>
      </c>
      <c r="E436">
        <v>1.4</v>
      </c>
      <c r="F436">
        <v>0.4</v>
      </c>
      <c r="G436">
        <v>4.2</v>
      </c>
      <c r="H436">
        <v>4010160</v>
      </c>
      <c r="I436">
        <v>1</v>
      </c>
    </row>
    <row r="437" spans="1:9">
      <c r="A437">
        <v>1</v>
      </c>
      <c r="B437">
        <v>1</v>
      </c>
      <c r="C437">
        <v>24</v>
      </c>
      <c r="D437">
        <v>9.4</v>
      </c>
      <c r="E437">
        <v>1.8</v>
      </c>
      <c r="F437">
        <v>0.3</v>
      </c>
      <c r="G437">
        <v>4.2</v>
      </c>
      <c r="H437">
        <v>27343</v>
      </c>
      <c r="I437">
        <v>0</v>
      </c>
    </row>
    <row r="438" spans="1:9">
      <c r="A438">
        <v>1</v>
      </c>
      <c r="B438">
        <v>0</v>
      </c>
      <c r="C438">
        <v>9</v>
      </c>
      <c r="D438">
        <v>9.4</v>
      </c>
      <c r="E438">
        <v>1.6</v>
      </c>
      <c r="F438">
        <v>0.8</v>
      </c>
      <c r="G438">
        <v>4.0999999999999996</v>
      </c>
      <c r="H438">
        <v>274325</v>
      </c>
      <c r="I438">
        <v>0</v>
      </c>
    </row>
    <row r="439" spans="1:9">
      <c r="A439">
        <v>0</v>
      </c>
      <c r="B439">
        <v>0</v>
      </c>
      <c r="C439">
        <v>74</v>
      </c>
      <c r="D439">
        <v>17.5</v>
      </c>
      <c r="E439">
        <v>2.5</v>
      </c>
      <c r="F439">
        <v>0.9</v>
      </c>
      <c r="G439">
        <v>4</v>
      </c>
      <c r="H439">
        <v>5601600</v>
      </c>
      <c r="I439">
        <v>0</v>
      </c>
    </row>
    <row r="440" spans="1:9">
      <c r="A440">
        <v>1</v>
      </c>
      <c r="B440">
        <v>0</v>
      </c>
      <c r="C440">
        <v>41</v>
      </c>
      <c r="D440">
        <v>11</v>
      </c>
      <c r="E440">
        <v>2.8</v>
      </c>
      <c r="F440">
        <v>0.5</v>
      </c>
      <c r="G440">
        <v>4</v>
      </c>
      <c r="H440">
        <v>123945</v>
      </c>
      <c r="I440">
        <v>1</v>
      </c>
    </row>
    <row r="441" spans="1:9">
      <c r="A441">
        <v>0</v>
      </c>
      <c r="B441">
        <v>1</v>
      </c>
      <c r="C441">
        <v>68</v>
      </c>
      <c r="D441">
        <v>13.1</v>
      </c>
      <c r="E441">
        <v>1.8</v>
      </c>
      <c r="F441">
        <v>0.6</v>
      </c>
      <c r="G441">
        <v>4</v>
      </c>
      <c r="H441">
        <v>2191897</v>
      </c>
      <c r="I441">
        <v>1</v>
      </c>
    </row>
    <row r="442" spans="1:9">
      <c r="A442">
        <v>0</v>
      </c>
      <c r="B442">
        <v>0</v>
      </c>
      <c r="C442">
        <v>2</v>
      </c>
      <c r="D442">
        <v>10</v>
      </c>
      <c r="E442">
        <v>3</v>
      </c>
      <c r="F442">
        <v>0.5</v>
      </c>
      <c r="G442">
        <v>4</v>
      </c>
      <c r="H442">
        <v>12500000</v>
      </c>
      <c r="I442">
        <v>0</v>
      </c>
    </row>
    <row r="443" spans="1:9">
      <c r="A443">
        <v>0</v>
      </c>
      <c r="B443">
        <v>0</v>
      </c>
      <c r="C443">
        <v>40</v>
      </c>
      <c r="D443">
        <v>7.9</v>
      </c>
      <c r="E443">
        <v>2.2999999999999998</v>
      </c>
      <c r="F443">
        <v>0.3</v>
      </c>
      <c r="G443">
        <v>3.9</v>
      </c>
      <c r="H443">
        <v>4201080</v>
      </c>
      <c r="I443">
        <v>0</v>
      </c>
    </row>
    <row r="444" spans="1:9">
      <c r="A444">
        <v>1</v>
      </c>
      <c r="B444">
        <v>0</v>
      </c>
      <c r="C444">
        <v>74</v>
      </c>
      <c r="D444">
        <v>14.6</v>
      </c>
      <c r="E444">
        <v>3.3</v>
      </c>
      <c r="F444">
        <v>0.5</v>
      </c>
      <c r="G444">
        <v>3.9</v>
      </c>
      <c r="H444">
        <v>2783880</v>
      </c>
      <c r="I444">
        <v>0</v>
      </c>
    </row>
    <row r="445" spans="1:9">
      <c r="A445">
        <v>0</v>
      </c>
      <c r="B445">
        <v>0</v>
      </c>
      <c r="C445">
        <v>58</v>
      </c>
      <c r="D445">
        <v>14.8</v>
      </c>
      <c r="E445">
        <v>2.5</v>
      </c>
      <c r="F445">
        <v>1.4</v>
      </c>
      <c r="G445">
        <v>3.9</v>
      </c>
      <c r="H445">
        <v>8556451</v>
      </c>
      <c r="I445">
        <v>1</v>
      </c>
    </row>
    <row r="446" spans="1:9">
      <c r="A446">
        <v>0</v>
      </c>
      <c r="B446">
        <v>1</v>
      </c>
      <c r="C446">
        <v>12</v>
      </c>
      <c r="D446">
        <v>7</v>
      </c>
      <c r="E446">
        <v>0.7</v>
      </c>
      <c r="F446">
        <v>0.8</v>
      </c>
      <c r="G446">
        <v>3.8</v>
      </c>
      <c r="H446">
        <v>85300</v>
      </c>
      <c r="I446">
        <v>1</v>
      </c>
    </row>
    <row r="447" spans="1:9">
      <c r="A447">
        <v>0</v>
      </c>
      <c r="B447">
        <v>0</v>
      </c>
      <c r="C447">
        <v>75</v>
      </c>
      <c r="D447">
        <v>12.3</v>
      </c>
      <c r="E447">
        <v>4.5999999999999996</v>
      </c>
      <c r="F447">
        <v>0.7</v>
      </c>
      <c r="G447">
        <v>3.8</v>
      </c>
      <c r="H447">
        <v>6700000</v>
      </c>
      <c r="I447">
        <v>0</v>
      </c>
    </row>
    <row r="448" spans="1:9">
      <c r="A448">
        <v>1</v>
      </c>
      <c r="B448">
        <v>0</v>
      </c>
      <c r="C448">
        <v>59</v>
      </c>
      <c r="D448">
        <v>12.8</v>
      </c>
      <c r="E448">
        <v>3.2</v>
      </c>
      <c r="F448">
        <v>1.2</v>
      </c>
      <c r="G448">
        <v>3.8</v>
      </c>
      <c r="H448">
        <v>1272870</v>
      </c>
      <c r="I448">
        <v>0</v>
      </c>
    </row>
    <row r="449" spans="1:9">
      <c r="A449">
        <v>0</v>
      </c>
      <c r="B449">
        <v>0</v>
      </c>
      <c r="C449">
        <v>9</v>
      </c>
      <c r="D449">
        <v>11.6</v>
      </c>
      <c r="E449">
        <v>3.3</v>
      </c>
      <c r="F449">
        <v>0.9</v>
      </c>
      <c r="G449">
        <v>3.8</v>
      </c>
      <c r="H449">
        <v>141463</v>
      </c>
      <c r="I449">
        <v>0</v>
      </c>
    </row>
    <row r="450" spans="1:9">
      <c r="A450">
        <v>1</v>
      </c>
      <c r="B450">
        <v>1</v>
      </c>
      <c r="C450">
        <v>48</v>
      </c>
      <c r="D450">
        <v>11.5</v>
      </c>
      <c r="E450">
        <v>1.8</v>
      </c>
      <c r="F450">
        <v>1.4</v>
      </c>
      <c r="G450">
        <v>3.7</v>
      </c>
      <c r="H450">
        <v>125931</v>
      </c>
      <c r="I450">
        <v>1</v>
      </c>
    </row>
    <row r="451" spans="1:9">
      <c r="A451">
        <v>0</v>
      </c>
      <c r="B451">
        <v>0</v>
      </c>
      <c r="C451">
        <v>25</v>
      </c>
      <c r="D451">
        <v>8.4</v>
      </c>
      <c r="E451">
        <v>1.4</v>
      </c>
      <c r="F451">
        <v>0.6</v>
      </c>
      <c r="G451">
        <v>3.7</v>
      </c>
      <c r="H451">
        <v>3218760</v>
      </c>
      <c r="I451">
        <v>1</v>
      </c>
    </row>
    <row r="452" spans="1:9">
      <c r="A452">
        <v>1</v>
      </c>
      <c r="B452">
        <v>0</v>
      </c>
      <c r="C452">
        <v>35</v>
      </c>
      <c r="D452">
        <v>12.8</v>
      </c>
      <c r="E452">
        <v>2.7</v>
      </c>
      <c r="F452">
        <v>1</v>
      </c>
      <c r="G452">
        <v>3.7</v>
      </c>
      <c r="H452">
        <v>3634153</v>
      </c>
      <c r="I452">
        <v>1</v>
      </c>
    </row>
    <row r="453" spans="1:9">
      <c r="A453">
        <v>0</v>
      </c>
      <c r="B453">
        <v>0</v>
      </c>
      <c r="C453">
        <v>52</v>
      </c>
      <c r="D453">
        <v>12</v>
      </c>
      <c r="E453">
        <v>2.6</v>
      </c>
      <c r="F453">
        <v>0.6</v>
      </c>
      <c r="G453">
        <v>3.7</v>
      </c>
      <c r="H453">
        <v>8177778</v>
      </c>
      <c r="I453">
        <v>1</v>
      </c>
    </row>
    <row r="454" spans="1:9">
      <c r="A454">
        <v>1</v>
      </c>
      <c r="B454">
        <v>0</v>
      </c>
      <c r="C454">
        <v>15</v>
      </c>
      <c r="D454">
        <v>9.1</v>
      </c>
      <c r="E454">
        <v>3.3</v>
      </c>
      <c r="F454">
        <v>0.9</v>
      </c>
      <c r="G454">
        <v>3.7</v>
      </c>
      <c r="H454">
        <v>70638</v>
      </c>
      <c r="I454">
        <v>1</v>
      </c>
    </row>
    <row r="455" spans="1:9">
      <c r="A455">
        <v>1</v>
      </c>
      <c r="B455">
        <v>0</v>
      </c>
      <c r="C455">
        <v>44</v>
      </c>
      <c r="D455">
        <v>10.7</v>
      </c>
      <c r="E455">
        <v>2.4</v>
      </c>
      <c r="F455">
        <v>0.9</v>
      </c>
      <c r="G455">
        <v>3.6</v>
      </c>
      <c r="H455">
        <v>806628</v>
      </c>
      <c r="I455">
        <v>0</v>
      </c>
    </row>
    <row r="456" spans="1:9">
      <c r="A456">
        <v>1</v>
      </c>
      <c r="B456">
        <v>0</v>
      </c>
      <c r="C456">
        <v>69</v>
      </c>
      <c r="D456">
        <v>9.1999999999999993</v>
      </c>
      <c r="E456">
        <v>1.4</v>
      </c>
      <c r="F456">
        <v>0.8</v>
      </c>
      <c r="G456">
        <v>3.6</v>
      </c>
      <c r="H456">
        <v>1272870</v>
      </c>
      <c r="I456">
        <v>0</v>
      </c>
    </row>
    <row r="457" spans="1:9">
      <c r="A457">
        <v>1</v>
      </c>
      <c r="B457">
        <v>0</v>
      </c>
      <c r="C457">
        <v>45</v>
      </c>
      <c r="D457">
        <v>9.1</v>
      </c>
      <c r="E457">
        <v>2.7</v>
      </c>
      <c r="F457">
        <v>1</v>
      </c>
      <c r="G457">
        <v>3.6</v>
      </c>
      <c r="H457">
        <v>395029</v>
      </c>
      <c r="I457">
        <v>1</v>
      </c>
    </row>
    <row r="458" spans="1:9">
      <c r="A458">
        <v>1</v>
      </c>
      <c r="B458">
        <v>0</v>
      </c>
      <c r="C458">
        <v>4</v>
      </c>
      <c r="D458">
        <v>9.8000000000000007</v>
      </c>
      <c r="E458">
        <v>2.8</v>
      </c>
      <c r="F458">
        <v>1.3</v>
      </c>
      <c r="G458">
        <v>3.5</v>
      </c>
      <c r="H458">
        <v>149965</v>
      </c>
      <c r="I458">
        <v>0</v>
      </c>
    </row>
    <row r="459" spans="1:9">
      <c r="A459">
        <v>1</v>
      </c>
      <c r="B459">
        <v>1</v>
      </c>
      <c r="C459">
        <v>53</v>
      </c>
      <c r="D459">
        <v>10.1</v>
      </c>
      <c r="E459">
        <v>1.1000000000000001</v>
      </c>
      <c r="F459">
        <v>1.8</v>
      </c>
      <c r="G459">
        <v>3.5</v>
      </c>
      <c r="H459">
        <v>2296274</v>
      </c>
      <c r="I459">
        <v>1</v>
      </c>
    </row>
    <row r="460" spans="1:9">
      <c r="A460">
        <v>1</v>
      </c>
      <c r="B460">
        <v>0</v>
      </c>
      <c r="C460">
        <v>53</v>
      </c>
      <c r="D460">
        <v>9.4</v>
      </c>
      <c r="E460">
        <v>2.7</v>
      </c>
      <c r="F460">
        <v>0.7</v>
      </c>
      <c r="G460">
        <v>3.4</v>
      </c>
      <c r="H460">
        <v>2221677</v>
      </c>
      <c r="I460">
        <v>1</v>
      </c>
    </row>
    <row r="461" spans="1:9">
      <c r="A461">
        <v>0</v>
      </c>
      <c r="B461">
        <v>0</v>
      </c>
      <c r="C461">
        <v>10</v>
      </c>
      <c r="D461">
        <v>9.6999999999999993</v>
      </c>
      <c r="E461">
        <v>2.7</v>
      </c>
      <c r="F461">
        <v>0.6</v>
      </c>
      <c r="G461">
        <v>3.4</v>
      </c>
      <c r="H461">
        <v>960753</v>
      </c>
      <c r="I461">
        <v>1</v>
      </c>
    </row>
    <row r="462" spans="1:9">
      <c r="A462">
        <v>1</v>
      </c>
      <c r="B462">
        <v>1</v>
      </c>
      <c r="C462">
        <v>18</v>
      </c>
      <c r="D462">
        <v>11.6</v>
      </c>
      <c r="E462">
        <v>1.8</v>
      </c>
      <c r="F462">
        <v>2.6</v>
      </c>
      <c r="G462">
        <v>3.4</v>
      </c>
      <c r="H462">
        <v>354794</v>
      </c>
      <c r="I462">
        <v>0</v>
      </c>
    </row>
    <row r="463" spans="1:9">
      <c r="A463">
        <v>0</v>
      </c>
      <c r="B463">
        <v>0</v>
      </c>
      <c r="C463">
        <v>27</v>
      </c>
      <c r="D463">
        <v>8.6999999999999993</v>
      </c>
      <c r="E463">
        <v>1.2</v>
      </c>
      <c r="F463">
        <v>0.9</v>
      </c>
      <c r="G463">
        <v>3.4</v>
      </c>
      <c r="H463">
        <v>85300</v>
      </c>
      <c r="I463">
        <v>1</v>
      </c>
    </row>
    <row r="464" spans="1:9">
      <c r="A464">
        <v>0</v>
      </c>
      <c r="B464">
        <v>1</v>
      </c>
      <c r="C464">
        <v>48</v>
      </c>
      <c r="D464">
        <v>9.5</v>
      </c>
      <c r="E464">
        <v>1.1000000000000001</v>
      </c>
      <c r="F464">
        <v>1</v>
      </c>
      <c r="G464">
        <v>3.3</v>
      </c>
      <c r="H464">
        <v>3090480</v>
      </c>
      <c r="I464">
        <v>1</v>
      </c>
    </row>
    <row r="465" spans="1:9">
      <c r="A465">
        <v>0</v>
      </c>
      <c r="B465">
        <v>0</v>
      </c>
      <c r="C465">
        <v>37</v>
      </c>
      <c r="D465">
        <v>16.8</v>
      </c>
      <c r="E465">
        <v>2.5</v>
      </c>
      <c r="F465">
        <v>1</v>
      </c>
      <c r="G465">
        <v>3.3</v>
      </c>
      <c r="H465">
        <v>12700000</v>
      </c>
      <c r="I465">
        <v>1</v>
      </c>
    </row>
    <row r="466" spans="1:9">
      <c r="A466">
        <v>0</v>
      </c>
      <c r="B466">
        <v>0</v>
      </c>
      <c r="C466">
        <v>4</v>
      </c>
      <c r="D466">
        <v>9.3000000000000007</v>
      </c>
      <c r="E466">
        <v>2.5</v>
      </c>
      <c r="F466">
        <v>0.5</v>
      </c>
      <c r="G466">
        <v>3.3</v>
      </c>
      <c r="H466">
        <v>85300</v>
      </c>
      <c r="I466">
        <v>1</v>
      </c>
    </row>
    <row r="467" spans="1:9">
      <c r="A467">
        <v>0</v>
      </c>
      <c r="B467">
        <v>0</v>
      </c>
      <c r="C467">
        <v>25</v>
      </c>
      <c r="D467">
        <v>11</v>
      </c>
      <c r="E467">
        <v>2.1</v>
      </c>
      <c r="F467">
        <v>0.9</v>
      </c>
      <c r="G467">
        <v>3.3</v>
      </c>
      <c r="H467">
        <v>85300</v>
      </c>
      <c r="I467">
        <v>0</v>
      </c>
    </row>
    <row r="468" spans="1:9">
      <c r="A468">
        <v>0</v>
      </c>
      <c r="B468">
        <v>0</v>
      </c>
      <c r="C468">
        <v>63</v>
      </c>
      <c r="D468">
        <v>14.3</v>
      </c>
      <c r="E468">
        <v>4.0999999999999996</v>
      </c>
      <c r="F468">
        <v>1.1000000000000001</v>
      </c>
      <c r="G468">
        <v>3.3</v>
      </c>
      <c r="H468">
        <v>4000000</v>
      </c>
      <c r="I468">
        <v>0</v>
      </c>
    </row>
    <row r="469" spans="1:9">
      <c r="A469">
        <v>0</v>
      </c>
      <c r="B469">
        <v>1</v>
      </c>
      <c r="C469">
        <v>3</v>
      </c>
      <c r="D469">
        <v>14.3</v>
      </c>
      <c r="E469">
        <v>1</v>
      </c>
      <c r="F469">
        <v>3.3</v>
      </c>
      <c r="G469">
        <v>3.3</v>
      </c>
      <c r="H469">
        <v>85300</v>
      </c>
      <c r="I469">
        <v>1</v>
      </c>
    </row>
    <row r="470" spans="1:9">
      <c r="A470">
        <v>1</v>
      </c>
      <c r="B470">
        <v>0</v>
      </c>
      <c r="C470">
        <v>4</v>
      </c>
      <c r="D470">
        <v>14.5</v>
      </c>
      <c r="E470">
        <v>2</v>
      </c>
      <c r="F470">
        <v>0.8</v>
      </c>
      <c r="G470">
        <v>3.3</v>
      </c>
      <c r="H470">
        <v>1000000</v>
      </c>
      <c r="I470">
        <v>1</v>
      </c>
    </row>
    <row r="471" spans="1:9">
      <c r="A471">
        <v>0</v>
      </c>
      <c r="B471">
        <v>1</v>
      </c>
      <c r="C471">
        <v>46</v>
      </c>
      <c r="D471">
        <v>10.7</v>
      </c>
      <c r="E471">
        <v>1.2</v>
      </c>
      <c r="F471">
        <v>0.6</v>
      </c>
      <c r="G471">
        <v>3.2</v>
      </c>
      <c r="H471">
        <v>2874436</v>
      </c>
      <c r="I471">
        <v>1</v>
      </c>
    </row>
    <row r="472" spans="1:9">
      <c r="A472">
        <v>1</v>
      </c>
      <c r="B472">
        <v>0</v>
      </c>
      <c r="C472">
        <v>6</v>
      </c>
      <c r="D472">
        <v>3.5</v>
      </c>
      <c r="E472">
        <v>1</v>
      </c>
      <c r="F472">
        <v>0.2</v>
      </c>
      <c r="G472">
        <v>3.2</v>
      </c>
      <c r="H472">
        <v>636435</v>
      </c>
      <c r="I472">
        <v>0</v>
      </c>
    </row>
    <row r="473" spans="1:9">
      <c r="A473">
        <v>0</v>
      </c>
      <c r="B473">
        <v>0</v>
      </c>
      <c r="C473">
        <v>42</v>
      </c>
      <c r="D473">
        <v>8.6</v>
      </c>
      <c r="E473">
        <v>1.8</v>
      </c>
      <c r="F473">
        <v>1.2</v>
      </c>
      <c r="G473">
        <v>3.2</v>
      </c>
      <c r="H473">
        <v>13445122</v>
      </c>
      <c r="I473">
        <v>0</v>
      </c>
    </row>
    <row r="474" spans="1:9">
      <c r="A474">
        <v>1</v>
      </c>
      <c r="B474">
        <v>0</v>
      </c>
      <c r="C474">
        <v>61</v>
      </c>
      <c r="D474">
        <v>8.5</v>
      </c>
      <c r="E474">
        <v>1.5</v>
      </c>
      <c r="F474">
        <v>0.4</v>
      </c>
      <c r="G474">
        <v>3.1</v>
      </c>
      <c r="H474">
        <v>1955377</v>
      </c>
      <c r="I474">
        <v>1</v>
      </c>
    </row>
    <row r="475" spans="1:9">
      <c r="A475">
        <v>0</v>
      </c>
      <c r="B475">
        <v>1</v>
      </c>
      <c r="C475">
        <v>14</v>
      </c>
      <c r="D475">
        <v>9.6</v>
      </c>
      <c r="E475">
        <v>1.7</v>
      </c>
      <c r="F475">
        <v>0.9</v>
      </c>
      <c r="G475">
        <v>3.1</v>
      </c>
      <c r="H475">
        <v>636435</v>
      </c>
      <c r="I475">
        <v>1</v>
      </c>
    </row>
    <row r="476" spans="1:9">
      <c r="A476">
        <v>1</v>
      </c>
      <c r="B476">
        <v>1</v>
      </c>
      <c r="C476">
        <v>7</v>
      </c>
      <c r="D476">
        <v>3.7</v>
      </c>
      <c r="E476">
        <v>0.3</v>
      </c>
      <c r="F476">
        <v>0.3</v>
      </c>
      <c r="G476">
        <v>3.1</v>
      </c>
      <c r="H476">
        <v>296271</v>
      </c>
      <c r="I476">
        <v>1</v>
      </c>
    </row>
    <row r="477" spans="1:9">
      <c r="A477">
        <v>0</v>
      </c>
      <c r="B477">
        <v>1</v>
      </c>
      <c r="C477">
        <v>67</v>
      </c>
      <c r="D477">
        <v>14.6</v>
      </c>
      <c r="E477">
        <v>1.1000000000000001</v>
      </c>
      <c r="F477">
        <v>2.4</v>
      </c>
      <c r="G477">
        <v>3</v>
      </c>
      <c r="H477">
        <v>814552</v>
      </c>
      <c r="I477">
        <v>1</v>
      </c>
    </row>
    <row r="478" spans="1:9">
      <c r="A478">
        <v>0</v>
      </c>
      <c r="B478">
        <v>0</v>
      </c>
      <c r="C478">
        <v>4</v>
      </c>
      <c r="D478">
        <v>10</v>
      </c>
      <c r="E478">
        <v>1.3</v>
      </c>
      <c r="F478">
        <v>0.5</v>
      </c>
      <c r="G478">
        <v>3</v>
      </c>
      <c r="H478">
        <v>153622</v>
      </c>
      <c r="I478">
        <v>1</v>
      </c>
    </row>
    <row r="479" spans="1:9">
      <c r="A479">
        <v>1</v>
      </c>
      <c r="B479">
        <v>0</v>
      </c>
      <c r="C479">
        <v>3</v>
      </c>
      <c r="D479">
        <v>5.7</v>
      </c>
      <c r="E479">
        <v>1</v>
      </c>
      <c r="F479">
        <v>0.3</v>
      </c>
      <c r="G479">
        <v>3</v>
      </c>
      <c r="H479">
        <v>2896132</v>
      </c>
      <c r="I479">
        <v>1</v>
      </c>
    </row>
    <row r="480" spans="1:9">
      <c r="A480">
        <v>0</v>
      </c>
      <c r="B480">
        <v>0</v>
      </c>
      <c r="C480">
        <v>46</v>
      </c>
      <c r="D480">
        <v>8.9</v>
      </c>
      <c r="E480">
        <v>2.9</v>
      </c>
      <c r="F480">
        <v>0.1</v>
      </c>
      <c r="G480">
        <v>3</v>
      </c>
      <c r="H480">
        <v>6016080</v>
      </c>
      <c r="I480">
        <v>0</v>
      </c>
    </row>
    <row r="481" spans="1:9">
      <c r="A481">
        <v>1</v>
      </c>
      <c r="B481">
        <v>0</v>
      </c>
      <c r="C481">
        <v>5</v>
      </c>
      <c r="D481">
        <v>6.6</v>
      </c>
      <c r="E481">
        <v>0.6</v>
      </c>
      <c r="F481">
        <v>0.8</v>
      </c>
      <c r="G481">
        <v>3</v>
      </c>
      <c r="H481">
        <v>815661</v>
      </c>
      <c r="I481">
        <v>0</v>
      </c>
    </row>
    <row r="482" spans="1:9">
      <c r="A482">
        <v>1</v>
      </c>
      <c r="B482">
        <v>1</v>
      </c>
      <c r="C482">
        <v>6</v>
      </c>
      <c r="D482">
        <v>10.8</v>
      </c>
      <c r="E482">
        <v>1.2</v>
      </c>
      <c r="F482">
        <v>1.5</v>
      </c>
      <c r="G482">
        <v>3</v>
      </c>
      <c r="H482">
        <v>321184</v>
      </c>
      <c r="I482">
        <v>1</v>
      </c>
    </row>
    <row r="483" spans="1:9">
      <c r="A483">
        <v>0</v>
      </c>
      <c r="B483">
        <v>0</v>
      </c>
      <c r="C483">
        <v>48</v>
      </c>
      <c r="D483">
        <v>8.9</v>
      </c>
      <c r="E483">
        <v>1</v>
      </c>
      <c r="F483">
        <v>0.2</v>
      </c>
      <c r="G483">
        <v>2.9</v>
      </c>
      <c r="H483">
        <v>2221677</v>
      </c>
      <c r="I483">
        <v>1</v>
      </c>
    </row>
    <row r="484" spans="1:9">
      <c r="A484">
        <v>0</v>
      </c>
      <c r="B484">
        <v>1</v>
      </c>
      <c r="C484">
        <v>16</v>
      </c>
      <c r="D484">
        <v>7.4</v>
      </c>
      <c r="E484">
        <v>0.8</v>
      </c>
      <c r="F484">
        <v>0.6</v>
      </c>
      <c r="G484">
        <v>2.9</v>
      </c>
      <c r="H484">
        <v>5480297</v>
      </c>
      <c r="I484">
        <v>1</v>
      </c>
    </row>
    <row r="485" spans="1:9">
      <c r="A485">
        <v>0</v>
      </c>
      <c r="B485">
        <v>1</v>
      </c>
      <c r="C485">
        <v>42</v>
      </c>
      <c r="D485">
        <v>8.9</v>
      </c>
      <c r="E485">
        <v>0.5</v>
      </c>
      <c r="F485">
        <v>1.2</v>
      </c>
      <c r="G485">
        <v>2.9</v>
      </c>
      <c r="H485">
        <v>1955377</v>
      </c>
      <c r="I485">
        <v>1</v>
      </c>
    </row>
    <row r="486" spans="1:9">
      <c r="A486">
        <v>0</v>
      </c>
      <c r="B486">
        <v>1</v>
      </c>
      <c r="C486">
        <v>10</v>
      </c>
      <c r="D486">
        <v>8.8000000000000007</v>
      </c>
      <c r="E486">
        <v>1.1000000000000001</v>
      </c>
      <c r="F486">
        <v>1</v>
      </c>
      <c r="G486">
        <v>2.9</v>
      </c>
      <c r="H486">
        <v>85300</v>
      </c>
      <c r="I486">
        <v>1</v>
      </c>
    </row>
    <row r="487" spans="1:9">
      <c r="A487">
        <v>0</v>
      </c>
      <c r="B487">
        <v>0</v>
      </c>
      <c r="C487">
        <v>11</v>
      </c>
      <c r="D487">
        <v>6.2</v>
      </c>
      <c r="E487">
        <v>1.2</v>
      </c>
      <c r="F487">
        <v>1.6</v>
      </c>
      <c r="G487">
        <v>2.9</v>
      </c>
      <c r="H487">
        <v>85300</v>
      </c>
      <c r="I487">
        <v>0</v>
      </c>
    </row>
    <row r="488" spans="1:9">
      <c r="A488">
        <v>0</v>
      </c>
      <c r="B488">
        <v>1</v>
      </c>
      <c r="C488">
        <v>16</v>
      </c>
      <c r="D488">
        <v>14.3</v>
      </c>
      <c r="E488">
        <v>1.8</v>
      </c>
      <c r="F488">
        <v>3.3</v>
      </c>
      <c r="G488">
        <v>2.9</v>
      </c>
      <c r="H488">
        <v>3634153</v>
      </c>
      <c r="I488">
        <v>1</v>
      </c>
    </row>
    <row r="489" spans="1:9">
      <c r="A489">
        <v>0</v>
      </c>
      <c r="B489">
        <v>0</v>
      </c>
      <c r="C489">
        <v>32</v>
      </c>
      <c r="D489">
        <v>8.1</v>
      </c>
      <c r="E489">
        <v>1.2</v>
      </c>
      <c r="F489">
        <v>0.3</v>
      </c>
      <c r="G489">
        <v>2.9</v>
      </c>
      <c r="H489">
        <v>2221677</v>
      </c>
      <c r="I489">
        <v>0</v>
      </c>
    </row>
    <row r="490" spans="1:9">
      <c r="A490">
        <v>0</v>
      </c>
      <c r="B490">
        <v>1</v>
      </c>
      <c r="C490">
        <v>55</v>
      </c>
      <c r="D490">
        <v>8.6999999999999993</v>
      </c>
      <c r="E490">
        <v>1.4</v>
      </c>
      <c r="F490">
        <v>0.6</v>
      </c>
      <c r="G490">
        <v>2.8</v>
      </c>
      <c r="H490">
        <v>1955377</v>
      </c>
      <c r="I490">
        <v>1</v>
      </c>
    </row>
    <row r="491" spans="1:9">
      <c r="A491">
        <v>0</v>
      </c>
      <c r="B491">
        <v>0</v>
      </c>
      <c r="C491">
        <v>21</v>
      </c>
      <c r="D491">
        <v>14.7</v>
      </c>
      <c r="E491">
        <v>5.6</v>
      </c>
      <c r="F491">
        <v>1.6</v>
      </c>
      <c r="G491">
        <v>2.8</v>
      </c>
      <c r="H491">
        <v>8000000</v>
      </c>
      <c r="I491">
        <v>1</v>
      </c>
    </row>
    <row r="492" spans="1:9">
      <c r="A492">
        <v>0</v>
      </c>
      <c r="B492">
        <v>0</v>
      </c>
      <c r="C492">
        <v>6</v>
      </c>
      <c r="D492">
        <v>4</v>
      </c>
      <c r="E492">
        <v>1.2</v>
      </c>
      <c r="F492">
        <v>0.3</v>
      </c>
      <c r="G492">
        <v>2.8</v>
      </c>
      <c r="H492">
        <v>190199</v>
      </c>
      <c r="I492">
        <v>0</v>
      </c>
    </row>
    <row r="493" spans="1:9">
      <c r="A493">
        <v>0</v>
      </c>
      <c r="B493">
        <v>0</v>
      </c>
      <c r="C493">
        <v>46</v>
      </c>
      <c r="D493">
        <v>8.8000000000000007</v>
      </c>
      <c r="E493">
        <v>1.6</v>
      </c>
      <c r="F493">
        <v>0.5</v>
      </c>
      <c r="G493">
        <v>2.8</v>
      </c>
      <c r="H493">
        <v>2667947</v>
      </c>
      <c r="I493">
        <v>1</v>
      </c>
    </row>
    <row r="494" spans="1:9">
      <c r="A494">
        <v>0</v>
      </c>
      <c r="B494">
        <v>0</v>
      </c>
      <c r="C494">
        <v>5</v>
      </c>
      <c r="D494">
        <v>7.2</v>
      </c>
      <c r="E494">
        <v>2.8</v>
      </c>
      <c r="F494">
        <v>0.4</v>
      </c>
      <c r="G494">
        <v>2.8</v>
      </c>
      <c r="H494">
        <v>85300</v>
      </c>
      <c r="I494">
        <v>0</v>
      </c>
    </row>
    <row r="495" spans="1:9">
      <c r="A495">
        <v>1</v>
      </c>
      <c r="B495">
        <v>1</v>
      </c>
      <c r="C495">
        <v>48</v>
      </c>
      <c r="D495">
        <v>13.8</v>
      </c>
      <c r="E495">
        <v>1.3</v>
      </c>
      <c r="F495">
        <v>1.1000000000000001</v>
      </c>
      <c r="G495">
        <v>2.7</v>
      </c>
      <c r="H495">
        <v>3634153</v>
      </c>
      <c r="I495">
        <v>1</v>
      </c>
    </row>
    <row r="496" spans="1:9">
      <c r="A496">
        <v>1</v>
      </c>
      <c r="B496">
        <v>1</v>
      </c>
      <c r="C496">
        <v>10</v>
      </c>
      <c r="D496">
        <v>6.8</v>
      </c>
      <c r="E496">
        <v>0.8</v>
      </c>
      <c r="F496">
        <v>0.3</v>
      </c>
      <c r="G496">
        <v>2.7</v>
      </c>
      <c r="H496">
        <v>85300</v>
      </c>
      <c r="I496">
        <v>1</v>
      </c>
    </row>
    <row r="497" spans="1:9">
      <c r="A497">
        <v>1</v>
      </c>
      <c r="B497">
        <v>1</v>
      </c>
      <c r="C497">
        <v>42</v>
      </c>
      <c r="D497">
        <v>7.1</v>
      </c>
      <c r="E497">
        <v>1.5</v>
      </c>
      <c r="F497">
        <v>0.4</v>
      </c>
      <c r="G497">
        <v>2.6</v>
      </c>
      <c r="H497">
        <v>1315814</v>
      </c>
      <c r="I497">
        <v>1</v>
      </c>
    </row>
    <row r="498" spans="1:9">
      <c r="A498">
        <v>1</v>
      </c>
      <c r="B498">
        <v>0</v>
      </c>
      <c r="C498">
        <v>52</v>
      </c>
      <c r="D498">
        <v>10</v>
      </c>
      <c r="E498">
        <v>2.5</v>
      </c>
      <c r="F498">
        <v>0.4</v>
      </c>
      <c r="G498">
        <v>2.6</v>
      </c>
      <c r="H498">
        <v>15000000</v>
      </c>
      <c r="I498">
        <v>1</v>
      </c>
    </row>
    <row r="499" spans="1:9">
      <c r="A499">
        <v>0</v>
      </c>
      <c r="B499">
        <v>1</v>
      </c>
      <c r="C499">
        <v>28</v>
      </c>
      <c r="D499">
        <v>7.8</v>
      </c>
      <c r="E499">
        <v>1.2</v>
      </c>
      <c r="F499">
        <v>1.3</v>
      </c>
      <c r="G499">
        <v>2.5</v>
      </c>
      <c r="H499">
        <v>82030</v>
      </c>
      <c r="I499">
        <v>1</v>
      </c>
    </row>
    <row r="500" spans="1:9">
      <c r="A500">
        <v>1</v>
      </c>
      <c r="B500">
        <v>1</v>
      </c>
      <c r="C500">
        <v>6</v>
      </c>
      <c r="D500">
        <v>7</v>
      </c>
      <c r="E500">
        <v>1</v>
      </c>
      <c r="F500">
        <v>0.3</v>
      </c>
      <c r="G500">
        <v>2.5</v>
      </c>
      <c r="H500">
        <v>552309</v>
      </c>
      <c r="I500">
        <v>1</v>
      </c>
    </row>
    <row r="501" spans="1:9">
      <c r="A501">
        <v>0</v>
      </c>
      <c r="B501">
        <v>0</v>
      </c>
      <c r="C501">
        <v>5</v>
      </c>
      <c r="D501">
        <v>8.4</v>
      </c>
      <c r="E501">
        <v>1</v>
      </c>
      <c r="F501">
        <v>0.4</v>
      </c>
      <c r="G501">
        <v>2.4</v>
      </c>
      <c r="H501">
        <v>85300</v>
      </c>
      <c r="I501">
        <v>1</v>
      </c>
    </row>
    <row r="502" spans="1:9">
      <c r="A502">
        <v>1</v>
      </c>
      <c r="B502">
        <v>1</v>
      </c>
      <c r="C502">
        <v>48</v>
      </c>
      <c r="D502">
        <v>8.5</v>
      </c>
      <c r="E502">
        <v>1.5</v>
      </c>
      <c r="F502">
        <v>0.9</v>
      </c>
      <c r="G502">
        <v>2.4</v>
      </c>
      <c r="H502">
        <v>2221677</v>
      </c>
      <c r="I502">
        <v>1</v>
      </c>
    </row>
    <row r="503" spans="1:9">
      <c r="A503">
        <v>1</v>
      </c>
      <c r="B503">
        <v>1</v>
      </c>
      <c r="C503">
        <v>34</v>
      </c>
      <c r="D503">
        <v>7.7</v>
      </c>
      <c r="E503">
        <v>0.7</v>
      </c>
      <c r="F503">
        <v>0.5</v>
      </c>
      <c r="G503">
        <v>2.4</v>
      </c>
      <c r="H503">
        <v>1272870</v>
      </c>
      <c r="I503">
        <v>1</v>
      </c>
    </row>
    <row r="504" spans="1:9">
      <c r="A504">
        <v>1</v>
      </c>
      <c r="B504">
        <v>0</v>
      </c>
      <c r="C504">
        <v>21</v>
      </c>
      <c r="D504">
        <v>7.4</v>
      </c>
      <c r="E504">
        <v>1.3</v>
      </c>
      <c r="F504">
        <v>1</v>
      </c>
      <c r="G504">
        <v>2.4</v>
      </c>
      <c r="H504">
        <v>85300</v>
      </c>
      <c r="I504">
        <v>1</v>
      </c>
    </row>
    <row r="505" spans="1:9">
      <c r="A505">
        <v>1</v>
      </c>
      <c r="B505">
        <v>0</v>
      </c>
      <c r="C505">
        <v>37</v>
      </c>
      <c r="D505">
        <v>9.3000000000000007</v>
      </c>
      <c r="E505">
        <v>3</v>
      </c>
      <c r="F505">
        <v>1.1000000000000001</v>
      </c>
      <c r="G505">
        <v>2.4</v>
      </c>
      <c r="H505">
        <v>85300</v>
      </c>
      <c r="I505">
        <v>0</v>
      </c>
    </row>
    <row r="506" spans="1:9">
      <c r="A506">
        <v>0</v>
      </c>
      <c r="B506">
        <v>1</v>
      </c>
      <c r="C506">
        <v>40</v>
      </c>
      <c r="D506">
        <v>7.1</v>
      </c>
      <c r="E506">
        <v>0.7</v>
      </c>
      <c r="F506">
        <v>0.5</v>
      </c>
      <c r="G506">
        <v>2.4</v>
      </c>
      <c r="H506">
        <v>2461463</v>
      </c>
      <c r="I506">
        <v>1</v>
      </c>
    </row>
    <row r="507" spans="1:9">
      <c r="A507">
        <v>1</v>
      </c>
      <c r="B507">
        <v>0</v>
      </c>
      <c r="C507">
        <v>9</v>
      </c>
      <c r="D507">
        <v>10.4</v>
      </c>
      <c r="E507">
        <v>2</v>
      </c>
      <c r="F507">
        <v>0.3</v>
      </c>
      <c r="G507">
        <v>2.2999999999999998</v>
      </c>
      <c r="H507">
        <v>3287409</v>
      </c>
      <c r="I507">
        <v>0</v>
      </c>
    </row>
    <row r="508" spans="1:9">
      <c r="A508">
        <v>1</v>
      </c>
      <c r="B508">
        <v>0</v>
      </c>
      <c r="C508">
        <v>18</v>
      </c>
      <c r="D508">
        <v>4.2</v>
      </c>
      <c r="E508">
        <v>0.6</v>
      </c>
      <c r="F508">
        <v>0.2</v>
      </c>
      <c r="G508">
        <v>2.2999999999999998</v>
      </c>
      <c r="H508">
        <v>724598</v>
      </c>
      <c r="I508">
        <v>0</v>
      </c>
    </row>
    <row r="509" spans="1:9">
      <c r="A509">
        <v>1</v>
      </c>
      <c r="B509">
        <v>1</v>
      </c>
      <c r="C509">
        <v>12</v>
      </c>
      <c r="D509">
        <v>8.6</v>
      </c>
      <c r="E509">
        <v>2</v>
      </c>
      <c r="F509">
        <v>0.8</v>
      </c>
      <c r="G509">
        <v>2.2999999999999998</v>
      </c>
      <c r="H509">
        <v>376740</v>
      </c>
      <c r="I509">
        <v>0</v>
      </c>
    </row>
    <row r="510" spans="1:9">
      <c r="A510">
        <v>0</v>
      </c>
      <c r="B510">
        <v>0</v>
      </c>
      <c r="C510">
        <v>30</v>
      </c>
      <c r="D510">
        <v>5.8</v>
      </c>
      <c r="E510">
        <v>0.8</v>
      </c>
      <c r="F510">
        <v>0.3</v>
      </c>
      <c r="G510">
        <v>2.2000000000000002</v>
      </c>
      <c r="H510">
        <v>3634153</v>
      </c>
      <c r="I510">
        <v>1</v>
      </c>
    </row>
    <row r="511" spans="1:9">
      <c r="A511">
        <v>0</v>
      </c>
      <c r="B511">
        <v>0</v>
      </c>
      <c r="C511">
        <v>43</v>
      </c>
      <c r="D511">
        <v>7</v>
      </c>
      <c r="E511">
        <v>1.5</v>
      </c>
      <c r="F511">
        <v>0.5</v>
      </c>
      <c r="G511">
        <v>2.2000000000000002</v>
      </c>
      <c r="H511">
        <v>4422360</v>
      </c>
      <c r="I511">
        <v>0</v>
      </c>
    </row>
    <row r="512" spans="1:9">
      <c r="A512">
        <v>1</v>
      </c>
      <c r="B512">
        <v>0</v>
      </c>
      <c r="C512">
        <v>54</v>
      </c>
      <c r="D512">
        <v>9.1999999999999993</v>
      </c>
      <c r="E512">
        <v>2.9</v>
      </c>
      <c r="F512">
        <v>0.5</v>
      </c>
      <c r="G512">
        <v>2.2000000000000002</v>
      </c>
      <c r="H512">
        <v>1955377</v>
      </c>
      <c r="I512">
        <v>0</v>
      </c>
    </row>
    <row r="513" spans="1:9">
      <c r="A513">
        <v>1</v>
      </c>
      <c r="B513">
        <v>1</v>
      </c>
      <c r="C513">
        <v>23</v>
      </c>
      <c r="D513">
        <v>6.3</v>
      </c>
      <c r="E513">
        <v>0.9</v>
      </c>
      <c r="F513">
        <v>0.5</v>
      </c>
      <c r="G513">
        <v>2.2000000000000002</v>
      </c>
      <c r="H513">
        <v>85300</v>
      </c>
      <c r="I513">
        <v>1</v>
      </c>
    </row>
    <row r="514" spans="1:9">
      <c r="A514">
        <v>0</v>
      </c>
      <c r="B514">
        <v>0</v>
      </c>
      <c r="C514">
        <v>21</v>
      </c>
      <c r="D514">
        <v>7.7</v>
      </c>
      <c r="E514">
        <v>1.7</v>
      </c>
      <c r="F514">
        <v>0.8</v>
      </c>
      <c r="G514">
        <v>2.2000000000000002</v>
      </c>
      <c r="H514">
        <v>2221677</v>
      </c>
      <c r="I514">
        <v>1</v>
      </c>
    </row>
    <row r="515" spans="1:9">
      <c r="A515">
        <v>1</v>
      </c>
      <c r="B515">
        <v>1</v>
      </c>
      <c r="C515">
        <v>6</v>
      </c>
      <c r="D515">
        <v>10.3</v>
      </c>
      <c r="E515">
        <v>0.8</v>
      </c>
      <c r="F515">
        <v>1.8</v>
      </c>
      <c r="G515">
        <v>2</v>
      </c>
      <c r="H515">
        <v>28293</v>
      </c>
      <c r="I515">
        <v>0</v>
      </c>
    </row>
    <row r="516" spans="1:9">
      <c r="A516">
        <v>0</v>
      </c>
      <c r="B516">
        <v>0</v>
      </c>
      <c r="C516">
        <v>14</v>
      </c>
      <c r="D516">
        <v>6.6</v>
      </c>
      <c r="E516">
        <v>1.1000000000000001</v>
      </c>
      <c r="F516">
        <v>0.4</v>
      </c>
      <c r="G516">
        <v>2</v>
      </c>
      <c r="H516">
        <v>85300</v>
      </c>
      <c r="I516">
        <v>1</v>
      </c>
    </row>
    <row r="517" spans="1:9">
      <c r="A517">
        <v>1</v>
      </c>
      <c r="B517">
        <v>0</v>
      </c>
      <c r="C517">
        <v>2</v>
      </c>
      <c r="D517">
        <v>3</v>
      </c>
      <c r="E517">
        <v>0.5</v>
      </c>
      <c r="F517">
        <v>0.5</v>
      </c>
      <c r="G517">
        <v>2</v>
      </c>
      <c r="H517">
        <v>85300</v>
      </c>
      <c r="I517">
        <v>1</v>
      </c>
    </row>
    <row r="518" spans="1:9">
      <c r="A518">
        <v>1</v>
      </c>
      <c r="B518">
        <v>1</v>
      </c>
      <c r="C518">
        <v>1</v>
      </c>
      <c r="D518">
        <v>7</v>
      </c>
      <c r="E518">
        <v>4</v>
      </c>
      <c r="F518">
        <v>2</v>
      </c>
      <c r="G518">
        <v>2</v>
      </c>
      <c r="H518">
        <v>85300</v>
      </c>
      <c r="I518">
        <v>1</v>
      </c>
    </row>
    <row r="519" spans="1:9">
      <c r="A519">
        <v>0</v>
      </c>
      <c r="B519">
        <v>1</v>
      </c>
      <c r="C519">
        <v>21</v>
      </c>
      <c r="D519">
        <v>4.2</v>
      </c>
      <c r="E519">
        <v>0.8</v>
      </c>
      <c r="F519">
        <v>0.3</v>
      </c>
      <c r="G519">
        <v>2</v>
      </c>
      <c r="H519">
        <v>636435</v>
      </c>
      <c r="I519">
        <v>1</v>
      </c>
    </row>
    <row r="520" spans="1:9">
      <c r="A520">
        <v>0</v>
      </c>
      <c r="B520">
        <v>0</v>
      </c>
      <c r="C520">
        <v>5</v>
      </c>
      <c r="D520">
        <v>4.4000000000000004</v>
      </c>
      <c r="E520">
        <v>1</v>
      </c>
      <c r="F520">
        <v>0</v>
      </c>
      <c r="G520">
        <v>2</v>
      </c>
      <c r="H520">
        <v>149965</v>
      </c>
      <c r="I520">
        <v>1</v>
      </c>
    </row>
    <row r="521" spans="1:9">
      <c r="A521">
        <v>0</v>
      </c>
      <c r="B521">
        <v>0</v>
      </c>
      <c r="C521">
        <v>43</v>
      </c>
      <c r="D521">
        <v>10.7</v>
      </c>
      <c r="E521">
        <v>2</v>
      </c>
      <c r="F521">
        <v>0.6</v>
      </c>
      <c r="G521">
        <v>2</v>
      </c>
      <c r="H521">
        <v>11000000</v>
      </c>
      <c r="I521">
        <v>0</v>
      </c>
    </row>
    <row r="522" spans="1:9">
      <c r="A522">
        <v>0</v>
      </c>
      <c r="B522">
        <v>1</v>
      </c>
      <c r="C522">
        <v>44</v>
      </c>
      <c r="D522">
        <v>6.4</v>
      </c>
      <c r="E522">
        <v>0.7</v>
      </c>
      <c r="F522">
        <v>0.9</v>
      </c>
      <c r="G522">
        <v>2</v>
      </c>
      <c r="H522">
        <v>2874436</v>
      </c>
      <c r="I522">
        <v>1</v>
      </c>
    </row>
    <row r="523" spans="1:9">
      <c r="A523">
        <v>1</v>
      </c>
      <c r="B523">
        <v>1</v>
      </c>
      <c r="C523">
        <v>4</v>
      </c>
      <c r="D523">
        <v>6</v>
      </c>
      <c r="E523">
        <v>0.8</v>
      </c>
      <c r="F523">
        <v>1</v>
      </c>
      <c r="G523">
        <v>2</v>
      </c>
      <c r="H523">
        <v>201172</v>
      </c>
      <c r="I523">
        <v>1</v>
      </c>
    </row>
    <row r="524" spans="1:9">
      <c r="A524">
        <v>0</v>
      </c>
      <c r="B524">
        <v>1</v>
      </c>
      <c r="C524">
        <v>7</v>
      </c>
      <c r="D524">
        <v>4.4000000000000004</v>
      </c>
      <c r="E524">
        <v>0.4</v>
      </c>
      <c r="F524">
        <v>0.7</v>
      </c>
      <c r="G524">
        <v>1.9</v>
      </c>
      <c r="H524">
        <v>193857</v>
      </c>
      <c r="I524">
        <v>1</v>
      </c>
    </row>
    <row r="525" spans="1:9">
      <c r="A525">
        <v>0</v>
      </c>
      <c r="B525">
        <v>0</v>
      </c>
      <c r="C525">
        <v>25</v>
      </c>
      <c r="D525">
        <v>6</v>
      </c>
      <c r="E525">
        <v>1.1000000000000001</v>
      </c>
      <c r="F525">
        <v>0.4</v>
      </c>
      <c r="G525">
        <v>1.9</v>
      </c>
      <c r="H525">
        <v>1272870</v>
      </c>
      <c r="I525">
        <v>1</v>
      </c>
    </row>
    <row r="526" spans="1:9">
      <c r="A526">
        <v>1</v>
      </c>
      <c r="B526">
        <v>0</v>
      </c>
      <c r="C526">
        <v>12</v>
      </c>
      <c r="D526">
        <v>5.9</v>
      </c>
      <c r="E526">
        <v>1.6</v>
      </c>
      <c r="F526">
        <v>0.5</v>
      </c>
      <c r="G526">
        <v>1.8</v>
      </c>
      <c r="H526">
        <v>1955377</v>
      </c>
      <c r="I526">
        <v>0</v>
      </c>
    </row>
    <row r="527" spans="1:9">
      <c r="A527">
        <v>0</v>
      </c>
      <c r="B527">
        <v>0</v>
      </c>
      <c r="C527">
        <v>36</v>
      </c>
      <c r="D527">
        <v>9.6</v>
      </c>
      <c r="E527">
        <v>1.7</v>
      </c>
      <c r="F527">
        <v>0.6</v>
      </c>
      <c r="G527">
        <v>1.8</v>
      </c>
      <c r="H527">
        <v>85300</v>
      </c>
      <c r="I527">
        <v>1</v>
      </c>
    </row>
    <row r="528" spans="1:9">
      <c r="A528">
        <v>1</v>
      </c>
      <c r="B528">
        <v>0</v>
      </c>
      <c r="C528">
        <v>4</v>
      </c>
      <c r="D528">
        <v>13.8</v>
      </c>
      <c r="E528">
        <v>3.5</v>
      </c>
      <c r="F528">
        <v>0.5</v>
      </c>
      <c r="G528">
        <v>1.8</v>
      </c>
      <c r="H528">
        <v>165197</v>
      </c>
      <c r="I528">
        <v>1</v>
      </c>
    </row>
    <row r="529" spans="1:9">
      <c r="A529">
        <v>1</v>
      </c>
      <c r="B529">
        <v>0</v>
      </c>
      <c r="C529">
        <v>4</v>
      </c>
      <c r="D529">
        <v>6.3</v>
      </c>
      <c r="E529">
        <v>1</v>
      </c>
      <c r="F529">
        <v>0.8</v>
      </c>
      <c r="G529">
        <v>1.8</v>
      </c>
      <c r="H529">
        <v>636435</v>
      </c>
      <c r="I529">
        <v>1</v>
      </c>
    </row>
    <row r="530" spans="1:9">
      <c r="A530">
        <v>1</v>
      </c>
      <c r="B530">
        <v>1</v>
      </c>
      <c r="C530">
        <v>14</v>
      </c>
      <c r="D530">
        <v>4.0999999999999996</v>
      </c>
      <c r="E530">
        <v>0.3</v>
      </c>
      <c r="F530">
        <v>0.6</v>
      </c>
      <c r="G530">
        <v>1.8</v>
      </c>
      <c r="H530">
        <v>23546</v>
      </c>
      <c r="I530">
        <v>1</v>
      </c>
    </row>
    <row r="531" spans="1:9">
      <c r="A531">
        <v>0</v>
      </c>
      <c r="B531">
        <v>1</v>
      </c>
      <c r="C531">
        <v>40</v>
      </c>
      <c r="D531">
        <v>8.6999999999999993</v>
      </c>
      <c r="E531">
        <v>2</v>
      </c>
      <c r="F531">
        <v>0.6</v>
      </c>
      <c r="G531">
        <v>1.7</v>
      </c>
      <c r="H531">
        <v>85300</v>
      </c>
      <c r="I531">
        <v>1</v>
      </c>
    </row>
    <row r="532" spans="1:9">
      <c r="A532">
        <v>1</v>
      </c>
      <c r="B532">
        <v>1</v>
      </c>
      <c r="C532">
        <v>29</v>
      </c>
      <c r="D532">
        <v>4.7</v>
      </c>
      <c r="E532">
        <v>0.9</v>
      </c>
      <c r="F532">
        <v>0.4</v>
      </c>
      <c r="G532">
        <v>1.7</v>
      </c>
      <c r="H532">
        <v>2847600</v>
      </c>
      <c r="I532">
        <v>0</v>
      </c>
    </row>
    <row r="533" spans="1:9">
      <c r="A533">
        <v>1</v>
      </c>
      <c r="B533">
        <v>1</v>
      </c>
      <c r="C533">
        <v>6</v>
      </c>
      <c r="D533">
        <v>10</v>
      </c>
      <c r="E533">
        <v>1</v>
      </c>
      <c r="F533">
        <v>0.7</v>
      </c>
      <c r="G533">
        <v>1.7</v>
      </c>
      <c r="H533">
        <v>85300</v>
      </c>
      <c r="I533">
        <v>1</v>
      </c>
    </row>
    <row r="534" spans="1:9">
      <c r="A534">
        <v>0</v>
      </c>
      <c r="B534">
        <v>0</v>
      </c>
      <c r="C534">
        <v>20</v>
      </c>
      <c r="D534">
        <v>8.6</v>
      </c>
      <c r="E534">
        <v>2.7</v>
      </c>
      <c r="F534">
        <v>1</v>
      </c>
      <c r="G534">
        <v>1.6</v>
      </c>
      <c r="H534">
        <v>939867</v>
      </c>
      <c r="I534">
        <v>1</v>
      </c>
    </row>
    <row r="535" spans="1:9">
      <c r="A535">
        <v>0</v>
      </c>
      <c r="B535">
        <v>0</v>
      </c>
      <c r="C535">
        <v>7</v>
      </c>
      <c r="D535">
        <v>3.7</v>
      </c>
      <c r="E535">
        <v>0.4</v>
      </c>
      <c r="F535">
        <v>0.1</v>
      </c>
      <c r="G535">
        <v>1.6</v>
      </c>
      <c r="H535">
        <v>85300</v>
      </c>
      <c r="I535">
        <v>1</v>
      </c>
    </row>
    <row r="536" spans="1:9">
      <c r="A536">
        <v>1</v>
      </c>
      <c r="B536">
        <v>0</v>
      </c>
      <c r="C536">
        <v>5</v>
      </c>
      <c r="D536">
        <v>3.4</v>
      </c>
      <c r="E536">
        <v>0.2</v>
      </c>
      <c r="F536">
        <v>0.2</v>
      </c>
      <c r="G536">
        <v>1.6</v>
      </c>
      <c r="H536">
        <v>85300</v>
      </c>
      <c r="I536">
        <v>1</v>
      </c>
    </row>
    <row r="537" spans="1:9">
      <c r="A537">
        <v>1</v>
      </c>
      <c r="B537">
        <v>0</v>
      </c>
      <c r="C537">
        <v>30</v>
      </c>
      <c r="D537">
        <v>6.1</v>
      </c>
      <c r="E537">
        <v>1.4</v>
      </c>
      <c r="F537">
        <v>0.4</v>
      </c>
      <c r="G537">
        <v>1.5</v>
      </c>
      <c r="H537">
        <v>2546675</v>
      </c>
      <c r="I537">
        <v>1</v>
      </c>
    </row>
    <row r="538" spans="1:9">
      <c r="A538">
        <v>0</v>
      </c>
      <c r="B538">
        <v>0</v>
      </c>
      <c r="C538">
        <v>4</v>
      </c>
      <c r="D538">
        <v>3.8</v>
      </c>
      <c r="E538">
        <v>0</v>
      </c>
      <c r="F538">
        <v>0</v>
      </c>
      <c r="G538">
        <v>1.5</v>
      </c>
      <c r="H538">
        <v>241406</v>
      </c>
      <c r="I538">
        <v>1</v>
      </c>
    </row>
    <row r="539" spans="1:9">
      <c r="A539">
        <v>0</v>
      </c>
      <c r="B539">
        <v>0</v>
      </c>
      <c r="C539">
        <v>27</v>
      </c>
      <c r="D539">
        <v>5.7</v>
      </c>
      <c r="E539">
        <v>0.7</v>
      </c>
      <c r="F539">
        <v>1.3</v>
      </c>
      <c r="G539">
        <v>1.5</v>
      </c>
      <c r="H539">
        <v>3634153</v>
      </c>
      <c r="I539">
        <v>0</v>
      </c>
    </row>
    <row r="540" spans="1:9">
      <c r="A540">
        <v>1</v>
      </c>
      <c r="B540">
        <v>0</v>
      </c>
      <c r="C540">
        <v>40</v>
      </c>
      <c r="D540">
        <v>6.2</v>
      </c>
      <c r="E540">
        <v>1.7</v>
      </c>
      <c r="F540">
        <v>0.6</v>
      </c>
      <c r="G540">
        <v>1.5</v>
      </c>
      <c r="H540">
        <v>1955377</v>
      </c>
      <c r="I540">
        <v>1</v>
      </c>
    </row>
    <row r="541" spans="1:9">
      <c r="A541">
        <v>1</v>
      </c>
      <c r="B541">
        <v>0</v>
      </c>
      <c r="C541">
        <v>34</v>
      </c>
      <c r="D541">
        <v>4.4000000000000004</v>
      </c>
      <c r="E541">
        <v>0.9</v>
      </c>
      <c r="F541">
        <v>0.4</v>
      </c>
      <c r="G541">
        <v>1.4</v>
      </c>
      <c r="H541">
        <v>2874436</v>
      </c>
      <c r="I541">
        <v>0</v>
      </c>
    </row>
    <row r="542" spans="1:9">
      <c r="A542">
        <v>1</v>
      </c>
      <c r="B542">
        <v>0</v>
      </c>
      <c r="C542">
        <v>22</v>
      </c>
      <c r="D542">
        <v>6.6</v>
      </c>
      <c r="E542">
        <v>1.8</v>
      </c>
      <c r="F542">
        <v>0.5</v>
      </c>
      <c r="G542">
        <v>1.4</v>
      </c>
      <c r="H542">
        <v>490128</v>
      </c>
      <c r="I542">
        <v>0</v>
      </c>
    </row>
    <row r="543" spans="1:9">
      <c r="A543">
        <v>1</v>
      </c>
      <c r="B543">
        <v>0</v>
      </c>
      <c r="C543">
        <v>4</v>
      </c>
      <c r="D543">
        <v>5.3</v>
      </c>
      <c r="E543">
        <v>2</v>
      </c>
      <c r="F543">
        <v>0.3</v>
      </c>
      <c r="G543">
        <v>1.3</v>
      </c>
      <c r="H543">
        <v>85300</v>
      </c>
      <c r="I543">
        <v>1</v>
      </c>
    </row>
    <row r="544" spans="1:9">
      <c r="A544">
        <v>0</v>
      </c>
      <c r="B544">
        <v>0</v>
      </c>
      <c r="C544">
        <v>27</v>
      </c>
      <c r="D544">
        <v>7.2</v>
      </c>
      <c r="E544">
        <v>1.2</v>
      </c>
      <c r="F544">
        <v>0.3</v>
      </c>
      <c r="G544">
        <v>1.3</v>
      </c>
      <c r="H544">
        <v>2048494</v>
      </c>
      <c r="I544">
        <v>1</v>
      </c>
    </row>
    <row r="545" spans="1:9">
      <c r="A545">
        <v>1</v>
      </c>
      <c r="B545">
        <v>0</v>
      </c>
      <c r="C545">
        <v>7</v>
      </c>
      <c r="D545">
        <v>5.6</v>
      </c>
      <c r="E545">
        <v>1</v>
      </c>
      <c r="F545">
        <v>0.6</v>
      </c>
      <c r="G545">
        <v>1.3</v>
      </c>
      <c r="H545">
        <v>3056867</v>
      </c>
      <c r="I545">
        <v>1</v>
      </c>
    </row>
    <row r="546" spans="1:9">
      <c r="A546">
        <v>0</v>
      </c>
      <c r="B546">
        <v>1</v>
      </c>
      <c r="C546">
        <v>16</v>
      </c>
      <c r="D546">
        <v>5.5</v>
      </c>
      <c r="E546">
        <v>0.4</v>
      </c>
      <c r="F546">
        <v>1.1000000000000001</v>
      </c>
      <c r="G546">
        <v>1.3</v>
      </c>
      <c r="H546">
        <v>636435</v>
      </c>
      <c r="I546">
        <v>1</v>
      </c>
    </row>
    <row r="547" spans="1:9">
      <c r="A547">
        <v>0</v>
      </c>
      <c r="B547">
        <v>1</v>
      </c>
      <c r="C547">
        <v>19</v>
      </c>
      <c r="D547">
        <v>4.9000000000000004</v>
      </c>
      <c r="E547">
        <v>1</v>
      </c>
      <c r="F547">
        <v>0.4</v>
      </c>
      <c r="G547">
        <v>1.2</v>
      </c>
      <c r="H547">
        <v>636435</v>
      </c>
      <c r="I547">
        <v>1</v>
      </c>
    </row>
    <row r="548" spans="1:9">
      <c r="A548">
        <v>1</v>
      </c>
      <c r="B548">
        <v>1</v>
      </c>
      <c r="C548">
        <v>14</v>
      </c>
      <c r="D548">
        <v>8.4</v>
      </c>
      <c r="E548">
        <v>0.6</v>
      </c>
      <c r="F548">
        <v>0.8</v>
      </c>
      <c r="G548">
        <v>1.2</v>
      </c>
      <c r="H548">
        <v>3634153</v>
      </c>
      <c r="I548">
        <v>1</v>
      </c>
    </row>
    <row r="549" spans="1:9">
      <c r="A549">
        <v>1</v>
      </c>
      <c r="B549">
        <v>0</v>
      </c>
      <c r="C549">
        <v>13</v>
      </c>
      <c r="D549">
        <v>6.3</v>
      </c>
      <c r="E549">
        <v>1.4</v>
      </c>
      <c r="F549">
        <v>0.4</v>
      </c>
      <c r="G549">
        <v>1</v>
      </c>
      <c r="H549">
        <v>85300</v>
      </c>
      <c r="I549">
        <v>1</v>
      </c>
    </row>
    <row r="550" spans="1:9">
      <c r="A550">
        <v>1</v>
      </c>
      <c r="B550">
        <v>1</v>
      </c>
      <c r="C550">
        <v>8</v>
      </c>
      <c r="D550">
        <v>1.9</v>
      </c>
      <c r="E550">
        <v>0.3</v>
      </c>
      <c r="F550">
        <v>0</v>
      </c>
      <c r="G550">
        <v>1</v>
      </c>
      <c r="H550">
        <v>197514</v>
      </c>
      <c r="I550">
        <v>1</v>
      </c>
    </row>
    <row r="551" spans="1:9">
      <c r="A551">
        <v>1</v>
      </c>
      <c r="B551">
        <v>1</v>
      </c>
      <c r="C551">
        <v>7</v>
      </c>
      <c r="D551">
        <v>3.7</v>
      </c>
      <c r="E551">
        <v>0.1</v>
      </c>
      <c r="F551">
        <v>0.6</v>
      </c>
      <c r="G551">
        <v>1</v>
      </c>
      <c r="H551">
        <v>85300</v>
      </c>
      <c r="I551">
        <v>1</v>
      </c>
    </row>
    <row r="552" spans="1:9">
      <c r="A552">
        <v>0</v>
      </c>
      <c r="B552">
        <v>0</v>
      </c>
      <c r="C552">
        <v>5</v>
      </c>
      <c r="D552">
        <v>8.1999999999999993</v>
      </c>
      <c r="E552">
        <v>1.2</v>
      </c>
      <c r="F552">
        <v>0.4</v>
      </c>
      <c r="G552">
        <v>1</v>
      </c>
      <c r="H552">
        <v>5426400</v>
      </c>
      <c r="I552">
        <v>0</v>
      </c>
    </row>
    <row r="553" spans="1:9">
      <c r="A553">
        <v>0</v>
      </c>
      <c r="B553">
        <v>1</v>
      </c>
      <c r="C553">
        <v>2</v>
      </c>
      <c r="D553">
        <v>3.5</v>
      </c>
      <c r="E553">
        <v>0</v>
      </c>
      <c r="F553">
        <v>0.5</v>
      </c>
      <c r="G553">
        <v>1</v>
      </c>
      <c r="H553">
        <v>234091</v>
      </c>
      <c r="I553">
        <v>1</v>
      </c>
    </row>
    <row r="554" spans="1:9">
      <c r="A554">
        <v>0</v>
      </c>
      <c r="B554">
        <v>0</v>
      </c>
      <c r="C554">
        <v>25</v>
      </c>
      <c r="D554">
        <v>5.6</v>
      </c>
      <c r="E554">
        <v>1</v>
      </c>
      <c r="F554">
        <v>0.2</v>
      </c>
      <c r="G554">
        <v>0.9</v>
      </c>
      <c r="H554">
        <v>3634153</v>
      </c>
      <c r="I554">
        <v>0</v>
      </c>
    </row>
    <row r="555" spans="1:9">
      <c r="A555">
        <v>1</v>
      </c>
      <c r="B555">
        <v>0</v>
      </c>
      <c r="C555">
        <v>11</v>
      </c>
      <c r="D555">
        <v>5</v>
      </c>
      <c r="E555">
        <v>1.5</v>
      </c>
      <c r="F555">
        <v>0.4</v>
      </c>
      <c r="G555">
        <v>0.9</v>
      </c>
      <c r="H555">
        <v>1272870</v>
      </c>
      <c r="I555">
        <v>1</v>
      </c>
    </row>
    <row r="556" spans="1:9">
      <c r="A556">
        <v>1</v>
      </c>
      <c r="B556">
        <v>0</v>
      </c>
      <c r="C556">
        <v>4</v>
      </c>
      <c r="D556">
        <v>3.8</v>
      </c>
      <c r="E556">
        <v>1.8</v>
      </c>
      <c r="F556">
        <v>0</v>
      </c>
      <c r="G556">
        <v>0.8</v>
      </c>
      <c r="H556">
        <v>2048494</v>
      </c>
      <c r="I556">
        <v>0</v>
      </c>
    </row>
    <row r="557" spans="1:9">
      <c r="A557">
        <v>1</v>
      </c>
      <c r="B557">
        <v>1</v>
      </c>
      <c r="C557">
        <v>5</v>
      </c>
      <c r="D557">
        <v>7.2</v>
      </c>
      <c r="E557">
        <v>0.2</v>
      </c>
      <c r="F557">
        <v>1.6</v>
      </c>
      <c r="G557">
        <v>0.8</v>
      </c>
      <c r="H557">
        <v>188932</v>
      </c>
      <c r="I557">
        <v>1</v>
      </c>
    </row>
    <row r="558" spans="1:9">
      <c r="A558">
        <v>1</v>
      </c>
      <c r="B558">
        <v>0</v>
      </c>
      <c r="C558">
        <v>9</v>
      </c>
      <c r="D558">
        <v>2.7</v>
      </c>
      <c r="E558">
        <v>1</v>
      </c>
      <c r="F558">
        <v>0.3</v>
      </c>
      <c r="G558">
        <v>0.8</v>
      </c>
      <c r="H558">
        <v>85300</v>
      </c>
      <c r="I558">
        <v>0</v>
      </c>
    </row>
    <row r="559" spans="1:9">
      <c r="A559">
        <v>0</v>
      </c>
      <c r="B559">
        <v>1</v>
      </c>
      <c r="C559">
        <v>9</v>
      </c>
      <c r="D559">
        <v>5.0999999999999996</v>
      </c>
      <c r="E559">
        <v>1.1000000000000001</v>
      </c>
      <c r="F559">
        <v>0.3</v>
      </c>
      <c r="G559">
        <v>0.8</v>
      </c>
      <c r="H559">
        <v>636435</v>
      </c>
      <c r="I559">
        <v>1</v>
      </c>
    </row>
    <row r="560" spans="1:9">
      <c r="A560">
        <v>1</v>
      </c>
      <c r="B560">
        <v>0</v>
      </c>
      <c r="C560">
        <v>6</v>
      </c>
      <c r="D560">
        <v>10.7</v>
      </c>
      <c r="E560">
        <v>1.5</v>
      </c>
      <c r="F560">
        <v>0.3</v>
      </c>
      <c r="G560">
        <v>0.8</v>
      </c>
      <c r="H560">
        <v>85300</v>
      </c>
      <c r="I560">
        <v>1</v>
      </c>
    </row>
    <row r="561" spans="1:9">
      <c r="A561">
        <v>1</v>
      </c>
      <c r="B561">
        <v>1</v>
      </c>
      <c r="C561">
        <v>22</v>
      </c>
      <c r="D561">
        <v>3.3</v>
      </c>
      <c r="E561">
        <v>0.4</v>
      </c>
      <c r="F561">
        <v>0.4</v>
      </c>
      <c r="G561">
        <v>0.8</v>
      </c>
      <c r="H561">
        <v>3634153</v>
      </c>
      <c r="I561">
        <v>1</v>
      </c>
    </row>
    <row r="562" spans="1:9">
      <c r="A562">
        <v>1</v>
      </c>
      <c r="B562">
        <v>1</v>
      </c>
      <c r="C562">
        <v>11</v>
      </c>
      <c r="D562">
        <v>3.3</v>
      </c>
      <c r="E562">
        <v>0.5</v>
      </c>
      <c r="F562">
        <v>0.2</v>
      </c>
      <c r="G562">
        <v>0.6</v>
      </c>
      <c r="H562">
        <v>212145</v>
      </c>
      <c r="I562">
        <v>0</v>
      </c>
    </row>
    <row r="563" spans="1:9">
      <c r="A563">
        <v>0</v>
      </c>
      <c r="B563">
        <v>0</v>
      </c>
      <c r="C563">
        <v>8</v>
      </c>
      <c r="D563">
        <v>4</v>
      </c>
      <c r="E563">
        <v>0.4</v>
      </c>
      <c r="F563">
        <v>0.1</v>
      </c>
      <c r="G563">
        <v>0.1</v>
      </c>
      <c r="H563">
        <v>85300</v>
      </c>
      <c r="I563">
        <v>0</v>
      </c>
    </row>
    <row r="564" spans="1:9">
      <c r="A564">
        <v>1</v>
      </c>
      <c r="B564">
        <v>1</v>
      </c>
      <c r="C564">
        <v>1</v>
      </c>
      <c r="D564">
        <v>3</v>
      </c>
      <c r="E564">
        <v>1</v>
      </c>
      <c r="F564">
        <v>0</v>
      </c>
      <c r="G564">
        <v>0</v>
      </c>
      <c r="H564">
        <v>190199</v>
      </c>
      <c r="I564">
        <v>1</v>
      </c>
    </row>
    <row r="565" spans="1:9">
      <c r="A565">
        <v>1</v>
      </c>
      <c r="B565">
        <v>0</v>
      </c>
      <c r="C565">
        <v>2</v>
      </c>
      <c r="D565">
        <v>3</v>
      </c>
      <c r="E565">
        <v>0</v>
      </c>
      <c r="F565">
        <v>0</v>
      </c>
      <c r="G565">
        <v>0</v>
      </c>
      <c r="H565">
        <v>5429520</v>
      </c>
      <c r="I565">
        <v>0</v>
      </c>
    </row>
    <row r="566" spans="1:9">
      <c r="A566">
        <v>1</v>
      </c>
      <c r="B566">
        <v>0</v>
      </c>
      <c r="C566">
        <v>5</v>
      </c>
      <c r="D566">
        <v>1.6</v>
      </c>
      <c r="E566">
        <v>0.4</v>
      </c>
      <c r="F566">
        <v>0</v>
      </c>
      <c r="G566">
        <v>0</v>
      </c>
      <c r="H566">
        <v>537677</v>
      </c>
      <c r="I566">
        <v>0</v>
      </c>
    </row>
    <row r="567" spans="1:9">
      <c r="A567">
        <v>1</v>
      </c>
      <c r="B567">
        <v>1</v>
      </c>
      <c r="C567">
        <v>2</v>
      </c>
      <c r="D567">
        <v>6.5</v>
      </c>
      <c r="E567">
        <v>0.5</v>
      </c>
      <c r="F567">
        <v>1</v>
      </c>
      <c r="G567">
        <v>0</v>
      </c>
      <c r="H567">
        <v>85300</v>
      </c>
      <c r="I56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6767-B7B9-4F7E-BB1C-B8BD38898E44}">
  <dimension ref="A2:I31"/>
  <sheetViews>
    <sheetView workbookViewId="0">
      <selection activeCell="D6" sqref="D6"/>
    </sheetView>
  </sheetViews>
  <sheetFormatPr defaultRowHeight="15"/>
  <cols>
    <col min="1" max="1" width="19" bestFit="1" customWidth="1"/>
  </cols>
  <sheetData>
    <row r="2" spans="1:8">
      <c r="A2" t="s">
        <v>588</v>
      </c>
      <c r="D2" s="9" t="s">
        <v>627</v>
      </c>
    </row>
    <row r="4" spans="1:8">
      <c r="A4" s="3" t="s">
        <v>589</v>
      </c>
      <c r="B4" s="3"/>
      <c r="D4" s="16" t="s">
        <v>628</v>
      </c>
      <c r="E4" s="15"/>
      <c r="F4" s="15"/>
      <c r="G4" s="15"/>
      <c r="H4" s="15"/>
    </row>
    <row r="5" spans="1:8">
      <c r="A5" t="s">
        <v>590</v>
      </c>
      <c r="B5">
        <v>0.78701224038366391</v>
      </c>
      <c r="D5" s="16" t="s">
        <v>629</v>
      </c>
      <c r="E5" s="15"/>
      <c r="F5" s="15"/>
      <c r="G5" s="15"/>
      <c r="H5" s="15"/>
    </row>
    <row r="6" spans="1:8">
      <c r="A6" t="s">
        <v>591</v>
      </c>
      <c r="B6">
        <v>0.61938826651371404</v>
      </c>
    </row>
    <row r="7" spans="1:8">
      <c r="A7" t="s">
        <v>593</v>
      </c>
      <c r="B7">
        <v>0.61461356734811545</v>
      </c>
    </row>
    <row r="8" spans="1:8">
      <c r="A8" t="s">
        <v>595</v>
      </c>
      <c r="B8">
        <v>7958318.534447127</v>
      </c>
    </row>
    <row r="9" spans="1:8">
      <c r="A9" s="4" t="s">
        <v>597</v>
      </c>
      <c r="B9" s="4">
        <v>566</v>
      </c>
    </row>
    <row r="11" spans="1:8">
      <c r="A11" t="s">
        <v>598</v>
      </c>
    </row>
    <row r="12" spans="1:8">
      <c r="A12" s="5"/>
      <c r="B12" s="5" t="s">
        <v>599</v>
      </c>
      <c r="C12" s="5" t="s">
        <v>600</v>
      </c>
      <c r="D12" s="5" t="s">
        <v>601</v>
      </c>
      <c r="E12" s="5" t="s">
        <v>602</v>
      </c>
      <c r="F12" s="5" t="s">
        <v>603</v>
      </c>
    </row>
    <row r="13" spans="1:8">
      <c r="A13" t="s">
        <v>604</v>
      </c>
      <c r="B13">
        <v>7</v>
      </c>
      <c r="C13">
        <v>5.7511889505990192E+16</v>
      </c>
      <c r="D13">
        <v>8215984215141456</v>
      </c>
      <c r="E13">
        <v>129.72299301626597</v>
      </c>
      <c r="F13">
        <v>1.0865202655130367E-112</v>
      </c>
    </row>
    <row r="14" spans="1:8">
      <c r="A14" t="s">
        <v>605</v>
      </c>
      <c r="B14">
        <v>558</v>
      </c>
      <c r="C14">
        <v>3.5340837313814364E+16</v>
      </c>
      <c r="D14">
        <v>63334833895724.664</v>
      </c>
    </row>
    <row r="15" spans="1:8">
      <c r="A15" s="4" t="s">
        <v>606</v>
      </c>
      <c r="B15" s="4">
        <v>565</v>
      </c>
      <c r="C15" s="4">
        <v>9.285272681980456E+16</v>
      </c>
      <c r="D15" s="4"/>
      <c r="E15" s="4"/>
      <c r="F15" s="4"/>
    </row>
    <row r="17" spans="1:9">
      <c r="A17" s="5"/>
      <c r="B17" s="5" t="s">
        <v>607</v>
      </c>
      <c r="C17" s="5" t="s">
        <v>595</v>
      </c>
      <c r="D17" s="5" t="s">
        <v>608</v>
      </c>
      <c r="E17" s="5" t="s">
        <v>609</v>
      </c>
      <c r="F17" s="5" t="s">
        <v>610</v>
      </c>
      <c r="G17" s="5" t="s">
        <v>611</v>
      </c>
      <c r="H17" s="5" t="s">
        <v>612</v>
      </c>
      <c r="I17" s="5" t="s">
        <v>613</v>
      </c>
    </row>
    <row r="18" spans="1:9">
      <c r="A18" t="s">
        <v>614</v>
      </c>
      <c r="B18">
        <v>-714931.76687588729</v>
      </c>
      <c r="C18">
        <v>1072786.8676311849</v>
      </c>
      <c r="D18">
        <v>-0.66642479363540719</v>
      </c>
      <c r="E18">
        <v>0.50541505388823171</v>
      </c>
      <c r="F18">
        <v>-2822125.9579989933</v>
      </c>
      <c r="G18">
        <v>1392262.4242472188</v>
      </c>
      <c r="H18">
        <v>-2822125.9579989933</v>
      </c>
      <c r="I18">
        <v>1392262.4242472188</v>
      </c>
    </row>
    <row r="19" spans="1:9">
      <c r="A19" t="s">
        <v>2</v>
      </c>
      <c r="B19">
        <v>573612.8798452263</v>
      </c>
      <c r="C19">
        <v>674210.20671016339</v>
      </c>
      <c r="D19">
        <v>0.85079234063244769</v>
      </c>
      <c r="E19" s="8">
        <v>0.39524965135072909</v>
      </c>
      <c r="F19">
        <v>-750687.29015274101</v>
      </c>
      <c r="G19">
        <v>1897913.0498431935</v>
      </c>
      <c r="H19">
        <v>-750687.29015274101</v>
      </c>
      <c r="I19">
        <v>1897913.0498431935</v>
      </c>
    </row>
    <row r="20" spans="1:9">
      <c r="A20" t="s">
        <v>4</v>
      </c>
      <c r="B20">
        <v>-2939233.4885715554</v>
      </c>
      <c r="C20">
        <v>862943.40491886775</v>
      </c>
      <c r="D20">
        <v>-3.4060559149274643</v>
      </c>
      <c r="E20">
        <v>7.0652699329413289E-4</v>
      </c>
      <c r="F20">
        <v>-4634248.0203286493</v>
      </c>
      <c r="G20">
        <v>-1244218.9568144612</v>
      </c>
      <c r="H20">
        <v>-4634248.0203286493</v>
      </c>
      <c r="I20">
        <v>-1244218.9568144612</v>
      </c>
    </row>
    <row r="21" spans="1:9">
      <c r="A21" t="s">
        <v>7</v>
      </c>
      <c r="B21">
        <v>2596.3990948316659</v>
      </c>
      <c r="C21">
        <v>15999.060725285464</v>
      </c>
      <c r="D21">
        <v>0.16228447028319778</v>
      </c>
      <c r="E21" s="8">
        <v>0.87114059165851776</v>
      </c>
      <c r="F21">
        <v>-28829.34710039269</v>
      </c>
      <c r="G21">
        <v>34022.145290056018</v>
      </c>
      <c r="H21">
        <v>-28829.34710039269</v>
      </c>
      <c r="I21">
        <v>34022.145290056018</v>
      </c>
    </row>
    <row r="22" spans="1:9">
      <c r="A22" t="s">
        <v>8</v>
      </c>
      <c r="B22">
        <v>-465986.35448625969</v>
      </c>
      <c r="C22">
        <v>92212.876461241569</v>
      </c>
      <c r="D22">
        <v>-5.0533761917959543</v>
      </c>
      <c r="E22">
        <v>5.8921055552047217E-7</v>
      </c>
      <c r="F22">
        <v>-647113.1406995703</v>
      </c>
      <c r="G22">
        <v>-284859.56827294902</v>
      </c>
      <c r="H22">
        <v>-647113.1406995703</v>
      </c>
      <c r="I22">
        <v>-284859.56827294902</v>
      </c>
    </row>
    <row r="23" spans="1:9">
      <c r="A23" t="s">
        <v>9</v>
      </c>
      <c r="B23">
        <v>260232.36821188449</v>
      </c>
      <c r="C23">
        <v>231169.87790874889</v>
      </c>
      <c r="D23">
        <v>1.1257191921631227</v>
      </c>
      <c r="E23" s="8">
        <v>0.26076833423514872</v>
      </c>
      <c r="F23">
        <v>-193837.15723594293</v>
      </c>
      <c r="G23">
        <v>714301.89365971193</v>
      </c>
      <c r="H23">
        <v>-193837.15723594293</v>
      </c>
      <c r="I23">
        <v>714301.89365971193</v>
      </c>
    </row>
    <row r="24" spans="1:9">
      <c r="A24" t="s">
        <v>10</v>
      </c>
      <c r="B24">
        <v>1247823.8458551245</v>
      </c>
      <c r="C24">
        <v>303908.60808798025</v>
      </c>
      <c r="D24">
        <v>4.1059180709152034</v>
      </c>
      <c r="E24">
        <v>4.629553044989356E-5</v>
      </c>
      <c r="F24">
        <v>650879.12839288311</v>
      </c>
      <c r="G24">
        <v>1844768.5633173659</v>
      </c>
      <c r="H24">
        <v>650879.12839288311</v>
      </c>
      <c r="I24">
        <v>1844768.5633173659</v>
      </c>
    </row>
    <row r="25" spans="1:9">
      <c r="A25" s="4" t="s">
        <v>11</v>
      </c>
      <c r="B25" s="4">
        <v>1782084.0612673289</v>
      </c>
      <c r="C25" s="4">
        <v>114846.69977800427</v>
      </c>
      <c r="D25" s="4">
        <v>15.517068097838699</v>
      </c>
      <c r="E25" s="4">
        <v>2.0936366516964443E-45</v>
      </c>
      <c r="F25" s="4">
        <v>1556499.3659808938</v>
      </c>
      <c r="G25" s="4">
        <v>2007668.756553764</v>
      </c>
      <c r="H25" s="4">
        <v>1556499.3659808938</v>
      </c>
      <c r="I25" s="4">
        <v>2007668.756553764</v>
      </c>
    </row>
    <row r="27" spans="1:9">
      <c r="B27" s="11" t="s">
        <v>630</v>
      </c>
      <c r="C27" s="11"/>
      <c r="E27" s="12" t="s">
        <v>631</v>
      </c>
      <c r="F27" s="12"/>
    </row>
    <row r="28" spans="1:9">
      <c r="B28" s="11" t="s">
        <v>632</v>
      </c>
      <c r="C28" s="11"/>
      <c r="E28" s="12" t="s">
        <v>633</v>
      </c>
      <c r="F28" s="12"/>
    </row>
    <row r="29" spans="1:9">
      <c r="B29" s="11" t="s">
        <v>8</v>
      </c>
      <c r="C29" s="11"/>
      <c r="E29" s="12" t="s">
        <v>7</v>
      </c>
      <c r="F29" s="12"/>
    </row>
    <row r="30" spans="1:9">
      <c r="B30" s="11" t="s">
        <v>10</v>
      </c>
      <c r="C30" s="11"/>
      <c r="E30" s="12" t="s">
        <v>9</v>
      </c>
      <c r="F30" s="12"/>
    </row>
    <row r="31" spans="1:9">
      <c r="B31" s="11" t="s">
        <v>11</v>
      </c>
      <c r="C3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C64F-C9E5-41E2-AD22-DD2DB4C6C9FF}">
  <dimension ref="A2:I30"/>
  <sheetViews>
    <sheetView workbookViewId="0">
      <selection activeCell="E22" sqref="E22"/>
    </sheetView>
  </sheetViews>
  <sheetFormatPr defaultRowHeight="15"/>
  <sheetData>
    <row r="2" spans="1:9">
      <c r="A2" t="s">
        <v>588</v>
      </c>
      <c r="E2" t="s">
        <v>634</v>
      </c>
    </row>
    <row r="4" spans="1:9">
      <c r="A4" s="3" t="s">
        <v>589</v>
      </c>
      <c r="B4" s="3"/>
      <c r="E4" s="16" t="s">
        <v>635</v>
      </c>
      <c r="F4" s="15"/>
      <c r="G4" s="15"/>
      <c r="H4" s="15"/>
      <c r="I4" s="15"/>
    </row>
    <row r="5" spans="1:9">
      <c r="A5" t="s">
        <v>590</v>
      </c>
      <c r="B5">
        <v>0.78700082754798273</v>
      </c>
      <c r="E5" s="16" t="s">
        <v>636</v>
      </c>
      <c r="F5" s="15"/>
      <c r="G5" s="15"/>
      <c r="H5" s="15"/>
      <c r="I5" s="15"/>
    </row>
    <row r="6" spans="1:9">
      <c r="A6" t="s">
        <v>591</v>
      </c>
      <c r="B6">
        <v>0.61937030256120962</v>
      </c>
    </row>
    <row r="7" spans="1:9">
      <c r="A7" t="s">
        <v>593</v>
      </c>
      <c r="B7">
        <v>0.61528483174791304</v>
      </c>
    </row>
    <row r="8" spans="1:9">
      <c r="A8" t="s">
        <v>595</v>
      </c>
      <c r="B8">
        <v>7951384.6315940944</v>
      </c>
    </row>
    <row r="9" spans="1:9">
      <c r="A9" s="4" t="s">
        <v>597</v>
      </c>
      <c r="B9" s="4">
        <v>566</v>
      </c>
    </row>
    <row r="11" spans="1:9">
      <c r="A11" t="s">
        <v>598</v>
      </c>
    </row>
    <row r="12" spans="1:9">
      <c r="A12" s="5"/>
      <c r="B12" s="5" t="s">
        <v>599</v>
      </c>
      <c r="C12" s="5" t="s">
        <v>600</v>
      </c>
      <c r="D12" s="5" t="s">
        <v>601</v>
      </c>
      <c r="E12" s="5" t="s">
        <v>602</v>
      </c>
      <c r="F12" s="5" t="s">
        <v>603</v>
      </c>
    </row>
    <row r="13" spans="1:9">
      <c r="A13" t="s">
        <v>604</v>
      </c>
      <c r="B13">
        <v>6</v>
      </c>
      <c r="C13">
        <v>5.7510221504015696E+16</v>
      </c>
      <c r="D13">
        <v>9585036917335950</v>
      </c>
      <c r="E13">
        <v>151.60316420458042</v>
      </c>
      <c r="F13">
        <v>8.5640890430056696E-114</v>
      </c>
    </row>
    <row r="14" spans="1:9">
      <c r="A14" t="s">
        <v>605</v>
      </c>
      <c r="B14">
        <v>559</v>
      </c>
      <c r="C14">
        <v>3.5342505315788868E+16</v>
      </c>
      <c r="D14">
        <v>63224517559550.75</v>
      </c>
    </row>
    <row r="15" spans="1:9">
      <c r="A15" s="4" t="s">
        <v>606</v>
      </c>
      <c r="B15" s="4">
        <v>565</v>
      </c>
      <c r="C15" s="4">
        <v>9.285272681980456E+16</v>
      </c>
      <c r="D15" s="4"/>
      <c r="E15" s="4"/>
      <c r="F15" s="4"/>
    </row>
    <row r="17" spans="1:9">
      <c r="A17" s="5"/>
      <c r="B17" s="5" t="s">
        <v>607</v>
      </c>
      <c r="C17" s="5" t="s">
        <v>595</v>
      </c>
      <c r="D17" s="5" t="s">
        <v>608</v>
      </c>
      <c r="E17" s="5" t="s">
        <v>609</v>
      </c>
      <c r="F17" s="5" t="s">
        <v>610</v>
      </c>
      <c r="G17" s="5" t="s">
        <v>611</v>
      </c>
      <c r="H17" s="5" t="s">
        <v>612</v>
      </c>
      <c r="I17" s="5" t="s">
        <v>613</v>
      </c>
    </row>
    <row r="18" spans="1:9">
      <c r="A18" t="s">
        <v>614</v>
      </c>
      <c r="B18">
        <v>-678433.47474074364</v>
      </c>
      <c r="C18">
        <v>1048033.2751800925</v>
      </c>
      <c r="D18">
        <v>-0.64733963205907041</v>
      </c>
      <c r="E18">
        <v>0.517677900626345</v>
      </c>
      <c r="F18">
        <v>-2736998.0497496556</v>
      </c>
      <c r="G18">
        <v>1380131.1002681686</v>
      </c>
      <c r="H18">
        <v>-2736998.0497496556</v>
      </c>
      <c r="I18">
        <v>1380131.1002681686</v>
      </c>
    </row>
    <row r="19" spans="1:9">
      <c r="A19" t="s">
        <v>2</v>
      </c>
      <c r="B19">
        <v>581837.17261758761</v>
      </c>
      <c r="C19">
        <v>671717.08462350443</v>
      </c>
      <c r="D19">
        <v>0.86619379786015971</v>
      </c>
      <c r="E19" s="8">
        <v>0.38675551096418637</v>
      </c>
      <c r="F19">
        <v>-737560.81557758327</v>
      </c>
      <c r="G19">
        <v>1901235.1608127584</v>
      </c>
      <c r="H19">
        <v>-737560.81557758327</v>
      </c>
      <c r="I19">
        <v>1901235.1608127584</v>
      </c>
    </row>
    <row r="20" spans="1:9">
      <c r="A20" t="s">
        <v>4</v>
      </c>
      <c r="B20">
        <v>-2942853.7871031431</v>
      </c>
      <c r="C20">
        <v>861903.39322946721</v>
      </c>
      <c r="D20">
        <v>-3.41436616936448</v>
      </c>
      <c r="E20">
        <v>6.8566778054124594E-4</v>
      </c>
      <c r="F20">
        <v>-4635818.9194146786</v>
      </c>
      <c r="G20">
        <v>-1249888.6547916073</v>
      </c>
      <c r="H20">
        <v>-4635818.9194146786</v>
      </c>
      <c r="I20">
        <v>-1249888.6547916073</v>
      </c>
    </row>
    <row r="21" spans="1:9">
      <c r="A21" t="s">
        <v>8</v>
      </c>
      <c r="B21">
        <v>-460979.59150403913</v>
      </c>
      <c r="C21">
        <v>86822.980666799791</v>
      </c>
      <c r="D21">
        <v>-5.309419095770723</v>
      </c>
      <c r="E21">
        <v>1.5891853860297246E-7</v>
      </c>
      <c r="F21">
        <v>-631518.74949656078</v>
      </c>
      <c r="G21">
        <v>-290440.43351151748</v>
      </c>
      <c r="H21">
        <v>-631518.74949656078</v>
      </c>
      <c r="I21">
        <v>-290440.43351151748</v>
      </c>
    </row>
    <row r="22" spans="1:9">
      <c r="A22" t="s">
        <v>9</v>
      </c>
      <c r="B22">
        <v>259287.68416459451</v>
      </c>
      <c r="C22">
        <v>230895.22483015724</v>
      </c>
      <c r="D22">
        <v>1.1229668537117747</v>
      </c>
      <c r="E22" s="8">
        <v>0.26193363669927006</v>
      </c>
      <c r="F22">
        <v>-194240.59745642828</v>
      </c>
      <c r="G22">
        <v>712815.96578561724</v>
      </c>
      <c r="H22">
        <v>-194240.59745642828</v>
      </c>
      <c r="I22">
        <v>712815.96578561724</v>
      </c>
    </row>
    <row r="23" spans="1:9">
      <c r="A23" t="s">
        <v>10</v>
      </c>
      <c r="B23">
        <v>1246156.2494029058</v>
      </c>
      <c r="C23">
        <v>303470.19904465688</v>
      </c>
      <c r="D23">
        <v>4.1063546052491597</v>
      </c>
      <c r="E23">
        <v>4.6199433733682192E-5</v>
      </c>
      <c r="F23">
        <v>650074.98355103261</v>
      </c>
      <c r="G23">
        <v>1842237.515254779</v>
      </c>
      <c r="H23">
        <v>650074.98355103261</v>
      </c>
      <c r="I23">
        <v>1842237.515254779</v>
      </c>
    </row>
    <row r="24" spans="1:9">
      <c r="A24" s="4" t="s">
        <v>11</v>
      </c>
      <c r="B24" s="4">
        <v>1780909.103545873</v>
      </c>
      <c r="C24" s="4">
        <v>114518.39441541888</v>
      </c>
      <c r="D24" s="4">
        <v>15.551292983427381</v>
      </c>
      <c r="E24" s="4">
        <v>1.4009596009778026E-45</v>
      </c>
      <c r="F24" s="4">
        <v>1555970.148349083</v>
      </c>
      <c r="G24" s="4">
        <v>2005848.0587426629</v>
      </c>
      <c r="H24" s="4">
        <v>1555970.148349083</v>
      </c>
      <c r="I24" s="4">
        <v>2005848.0587426629</v>
      </c>
    </row>
    <row r="26" spans="1:9">
      <c r="B26" s="11" t="s">
        <v>637</v>
      </c>
      <c r="C26" s="11"/>
      <c r="E26" s="12" t="s">
        <v>625</v>
      </c>
      <c r="F26" s="12"/>
    </row>
    <row r="27" spans="1:9">
      <c r="B27" s="11" t="s">
        <v>632</v>
      </c>
      <c r="C27" s="11"/>
      <c r="E27" s="12" t="s">
        <v>638</v>
      </c>
      <c r="F27" s="12"/>
    </row>
    <row r="28" spans="1:9">
      <c r="B28" s="11" t="s">
        <v>8</v>
      </c>
      <c r="C28" s="11"/>
      <c r="E28" s="12" t="s">
        <v>9</v>
      </c>
      <c r="F28" s="12"/>
    </row>
    <row r="29" spans="1:9">
      <c r="B29" s="11" t="s">
        <v>10</v>
      </c>
      <c r="C29" s="11"/>
    </row>
    <row r="30" spans="1:9">
      <c r="B30" s="11" t="s">
        <v>11</v>
      </c>
      <c r="C3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1FEA-E3B1-4966-B035-D2FD324AD765}">
  <dimension ref="A2:I29"/>
  <sheetViews>
    <sheetView workbookViewId="0">
      <selection activeCell="E21" sqref="E21"/>
    </sheetView>
  </sheetViews>
  <sheetFormatPr defaultRowHeight="15"/>
  <cols>
    <col min="3" max="3" width="11.85546875" customWidth="1"/>
  </cols>
  <sheetData>
    <row r="2" spans="1:9">
      <c r="A2" t="s">
        <v>588</v>
      </c>
      <c r="H2" s="13" t="s">
        <v>639</v>
      </c>
      <c r="I2" s="13"/>
    </row>
    <row r="4" spans="1:9">
      <c r="A4" s="3" t="s">
        <v>589</v>
      </c>
      <c r="B4" s="3"/>
      <c r="E4" s="16" t="s">
        <v>640</v>
      </c>
      <c r="F4" s="15"/>
      <c r="G4" s="15"/>
      <c r="H4" s="15"/>
      <c r="I4" s="15"/>
    </row>
    <row r="5" spans="1:9">
      <c r="A5" t="s">
        <v>590</v>
      </c>
      <c r="B5">
        <v>0.78667618502829495</v>
      </c>
      <c r="E5" s="16" t="s">
        <v>641</v>
      </c>
      <c r="F5" s="15"/>
      <c r="G5" s="15"/>
      <c r="H5" s="15"/>
      <c r="I5" s="15"/>
    </row>
    <row r="6" spans="1:9">
      <c r="A6" t="s">
        <v>591</v>
      </c>
      <c r="B6">
        <v>0.61885942009067219</v>
      </c>
    </row>
    <row r="7" spans="1:9">
      <c r="A7" t="s">
        <v>593</v>
      </c>
      <c r="B7">
        <v>0.61545637919862461</v>
      </c>
    </row>
    <row r="8" spans="1:9">
      <c r="A8" t="s">
        <v>595</v>
      </c>
      <c r="B8">
        <v>7949611.6421611067</v>
      </c>
    </row>
    <row r="9" spans="1:9">
      <c r="A9" s="4" t="s">
        <v>597</v>
      </c>
      <c r="B9" s="4">
        <v>566</v>
      </c>
    </row>
    <row r="11" spans="1:9">
      <c r="A11" t="s">
        <v>598</v>
      </c>
    </row>
    <row r="12" spans="1:9">
      <c r="A12" s="5"/>
      <c r="B12" s="5" t="s">
        <v>599</v>
      </c>
      <c r="C12" s="5" t="s">
        <v>600</v>
      </c>
      <c r="D12" s="5" t="s">
        <v>601</v>
      </c>
      <c r="E12" s="5" t="s">
        <v>602</v>
      </c>
      <c r="F12" s="5" t="s">
        <v>603</v>
      </c>
    </row>
    <row r="13" spans="1:9">
      <c r="A13" t="s">
        <v>604</v>
      </c>
      <c r="B13">
        <v>5</v>
      </c>
      <c r="C13">
        <v>5.7462784673541856E+16</v>
      </c>
      <c r="D13">
        <v>1.1492556934708372E+16</v>
      </c>
      <c r="E13">
        <v>181.85482917259679</v>
      </c>
      <c r="F13">
        <v>8.7633566963046217E-115</v>
      </c>
    </row>
    <row r="14" spans="1:9">
      <c r="A14" t="s">
        <v>605</v>
      </c>
      <c r="B14">
        <v>560</v>
      </c>
      <c r="C14">
        <v>3.5389942146262708E+16</v>
      </c>
      <c r="D14">
        <v>63196325261183.406</v>
      </c>
    </row>
    <row r="15" spans="1:9">
      <c r="A15" s="4" t="s">
        <v>606</v>
      </c>
      <c r="B15" s="4">
        <v>565</v>
      </c>
      <c r="C15" s="4">
        <v>9.285272681980456E+16</v>
      </c>
      <c r="D15" s="4"/>
      <c r="E15" s="4"/>
      <c r="F15" s="4"/>
    </row>
    <row r="17" spans="1:9">
      <c r="A17" s="5"/>
      <c r="B17" s="5" t="s">
        <v>607</v>
      </c>
      <c r="C17" s="5" t="s">
        <v>595</v>
      </c>
      <c r="D17" s="5" t="s">
        <v>608</v>
      </c>
      <c r="E17" s="5" t="s">
        <v>609</v>
      </c>
      <c r="F17" s="5" t="s">
        <v>610</v>
      </c>
      <c r="G17" s="5" t="s">
        <v>611</v>
      </c>
      <c r="H17" s="5" t="s">
        <v>612</v>
      </c>
      <c r="I17" s="5" t="s">
        <v>613</v>
      </c>
    </row>
    <row r="18" spans="1:9">
      <c r="A18" t="s">
        <v>614</v>
      </c>
      <c r="B18">
        <v>-323064.62371567637</v>
      </c>
      <c r="C18">
        <v>964179.3380855103</v>
      </c>
      <c r="D18">
        <v>-0.33506694341444671</v>
      </c>
      <c r="E18">
        <v>0.73770006078425765</v>
      </c>
      <c r="F18">
        <v>-2216914.5481528486</v>
      </c>
      <c r="G18">
        <v>1570785.3007214959</v>
      </c>
      <c r="H18">
        <v>-2216914.5481528486</v>
      </c>
      <c r="I18">
        <v>1570785.3007214959</v>
      </c>
    </row>
    <row r="19" spans="1:9">
      <c r="A19" t="s">
        <v>4</v>
      </c>
      <c r="B19">
        <v>-2958270.5704758381</v>
      </c>
      <c r="C19">
        <v>861527.46096908313</v>
      </c>
      <c r="D19">
        <v>-3.433750756067889</v>
      </c>
      <c r="E19">
        <v>6.3932536371330757E-4</v>
      </c>
      <c r="F19">
        <v>-4650490.7336838413</v>
      </c>
      <c r="G19">
        <v>-1266050.4072678348</v>
      </c>
      <c r="H19">
        <v>-4650490.7336838413</v>
      </c>
      <c r="I19">
        <v>-1266050.4072678348</v>
      </c>
    </row>
    <row r="20" spans="1:9">
      <c r="A20" t="s">
        <v>8</v>
      </c>
      <c r="B20">
        <v>-466203.34162695683</v>
      </c>
      <c r="C20">
        <v>86593.969530557762</v>
      </c>
      <c r="D20">
        <v>-5.3837853161638511</v>
      </c>
      <c r="E20">
        <v>1.0745376648838643E-7</v>
      </c>
      <c r="F20">
        <v>-636292.01307452656</v>
      </c>
      <c r="G20">
        <v>-296114.67017938709</v>
      </c>
      <c r="H20">
        <v>-636292.01307452656</v>
      </c>
      <c r="I20">
        <v>-296114.67017938709</v>
      </c>
    </row>
    <row r="21" spans="1:9">
      <c r="A21" t="s">
        <v>9</v>
      </c>
      <c r="B21">
        <v>262908.93886673776</v>
      </c>
      <c r="C21">
        <v>230805.89743916524</v>
      </c>
      <c r="D21">
        <v>1.1390910794904368</v>
      </c>
      <c r="E21" s="8">
        <v>0.25515219087376323</v>
      </c>
      <c r="F21">
        <v>-190442.12784742023</v>
      </c>
      <c r="G21">
        <v>716260.00558089581</v>
      </c>
      <c r="H21">
        <v>-190442.12784742023</v>
      </c>
      <c r="I21">
        <v>716260.00558089581</v>
      </c>
    </row>
    <row r="22" spans="1:9">
      <c r="A22" t="s">
        <v>10</v>
      </c>
      <c r="B22">
        <v>1260753.6590684385</v>
      </c>
      <c r="C22">
        <v>302934.35067106644</v>
      </c>
      <c r="D22">
        <v>4.1618048804158088</v>
      </c>
      <c r="E22">
        <v>3.6543364806913152E-5</v>
      </c>
      <c r="F22">
        <v>665727.22107507195</v>
      </c>
      <c r="G22">
        <v>1855780.097061805</v>
      </c>
      <c r="H22">
        <v>665727.22107507195</v>
      </c>
      <c r="I22">
        <v>1855780.097061805</v>
      </c>
    </row>
    <row r="23" spans="1:9">
      <c r="A23" s="4" t="s">
        <v>11</v>
      </c>
      <c r="B23" s="4">
        <v>1781157.028961173</v>
      </c>
      <c r="C23" s="4">
        <v>114492.50164162042</v>
      </c>
      <c r="D23" s="4">
        <v>15.556975377623203</v>
      </c>
      <c r="E23" s="4">
        <v>1.2791449383663829E-45</v>
      </c>
      <c r="F23" s="4">
        <v>1556269.8041289649</v>
      </c>
      <c r="G23" s="4">
        <v>2006044.2537933812</v>
      </c>
      <c r="H23" s="4">
        <v>1556269.8041289649</v>
      </c>
      <c r="I23" s="4">
        <v>2006044.2537933812</v>
      </c>
    </row>
    <row r="25" spans="1:9">
      <c r="B25" s="11" t="s">
        <v>642</v>
      </c>
      <c r="C25" s="11"/>
      <c r="E25" s="12" t="s">
        <v>625</v>
      </c>
      <c r="F25" s="12"/>
    </row>
    <row r="26" spans="1:9">
      <c r="B26" s="11" t="s">
        <v>632</v>
      </c>
      <c r="C26" s="11"/>
      <c r="E26" s="12" t="s">
        <v>643</v>
      </c>
      <c r="F26" s="12"/>
    </row>
    <row r="27" spans="1:9">
      <c r="B27" s="11" t="s">
        <v>8</v>
      </c>
      <c r="C27" s="11"/>
    </row>
    <row r="28" spans="1:9">
      <c r="B28" s="11" t="s">
        <v>10</v>
      </c>
      <c r="C28" s="11"/>
    </row>
    <row r="29" spans="1:9">
      <c r="B29" s="11" t="s">
        <v>11</v>
      </c>
      <c r="C29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E63B-3279-486C-8191-556BC18FA0A0}">
  <dimension ref="A2:K36"/>
  <sheetViews>
    <sheetView tabSelected="1" topLeftCell="A20" workbookViewId="0">
      <selection activeCell="D40" sqref="D40"/>
    </sheetView>
  </sheetViews>
  <sheetFormatPr defaultRowHeight="15"/>
  <cols>
    <col min="2" max="2" width="12.7109375" bestFit="1" customWidth="1"/>
    <col min="3" max="3" width="15.5703125" bestFit="1" customWidth="1"/>
    <col min="4" max="4" width="18.28515625" bestFit="1" customWidth="1"/>
    <col min="5" max="5" width="17.5703125" customWidth="1"/>
    <col min="6" max="6" width="26.7109375" bestFit="1" customWidth="1"/>
    <col min="11" max="11" width="34.42578125" customWidth="1"/>
  </cols>
  <sheetData>
    <row r="2" spans="1:11">
      <c r="A2" t="s">
        <v>588</v>
      </c>
    </row>
    <row r="3" spans="1:11">
      <c r="F3" s="14" t="s">
        <v>644</v>
      </c>
      <c r="G3" s="6"/>
      <c r="H3" s="6"/>
    </row>
    <row r="4" spans="1:11">
      <c r="A4" s="3" t="s">
        <v>589</v>
      </c>
      <c r="B4" s="3"/>
    </row>
    <row r="5" spans="1:11">
      <c r="A5" t="s">
        <v>590</v>
      </c>
      <c r="B5">
        <v>0.78611469366145659</v>
      </c>
      <c r="E5" s="16" t="s">
        <v>645</v>
      </c>
      <c r="F5" s="15"/>
      <c r="G5" s="15"/>
      <c r="H5" s="15"/>
      <c r="I5" s="15"/>
      <c r="K5" s="9" t="s">
        <v>646</v>
      </c>
    </row>
    <row r="6" spans="1:11">
      <c r="A6" s="15" t="s">
        <v>591</v>
      </c>
      <c r="B6" s="15">
        <v>0.61797631159044575</v>
      </c>
      <c r="E6" s="16" t="s">
        <v>647</v>
      </c>
      <c r="F6" s="15"/>
      <c r="G6" s="15"/>
      <c r="H6" s="15"/>
      <c r="I6" s="15"/>
    </row>
    <row r="7" spans="1:11">
      <c r="A7" s="15" t="s">
        <v>593</v>
      </c>
      <c r="B7" s="15">
        <v>0.61525243502424576</v>
      </c>
    </row>
    <row r="8" spans="1:11">
      <c r="A8" t="s">
        <v>595</v>
      </c>
      <c r="B8">
        <v>7951719.4161426285</v>
      </c>
    </row>
    <row r="9" spans="1:11">
      <c r="A9" s="4" t="s">
        <v>597</v>
      </c>
      <c r="B9" s="4">
        <v>566</v>
      </c>
    </row>
    <row r="11" spans="1:11">
      <c r="A11" t="s">
        <v>598</v>
      </c>
    </row>
    <row r="12" spans="1:11">
      <c r="A12" s="5"/>
      <c r="B12" s="5" t="s">
        <v>599</v>
      </c>
      <c r="C12" s="5" t="s">
        <v>600</v>
      </c>
      <c r="D12" s="5" t="s">
        <v>601</v>
      </c>
      <c r="E12" s="5" t="s">
        <v>602</v>
      </c>
      <c r="F12" s="5" t="s">
        <v>603</v>
      </c>
    </row>
    <row r="13" spans="1:11">
      <c r="A13" t="s">
        <v>604</v>
      </c>
      <c r="B13">
        <v>4</v>
      </c>
      <c r="C13">
        <v>5.738078564121808E+16</v>
      </c>
      <c r="D13">
        <v>1.434519641030452E+16</v>
      </c>
      <c r="E13">
        <v>226.87383094328663</v>
      </c>
      <c r="F13">
        <v>1.0416700874395864E-115</v>
      </c>
    </row>
    <row r="14" spans="1:11">
      <c r="A14" t="s">
        <v>605</v>
      </c>
      <c r="B14">
        <v>561</v>
      </c>
      <c r="C14">
        <v>3.5471941178586476E+16</v>
      </c>
      <c r="D14">
        <v>63229841673059.672</v>
      </c>
    </row>
    <row r="15" spans="1:11">
      <c r="A15" s="4" t="s">
        <v>606</v>
      </c>
      <c r="B15" s="4">
        <v>565</v>
      </c>
      <c r="C15" s="4">
        <v>9.285272681980456E+16</v>
      </c>
      <c r="D15" s="4"/>
      <c r="E15" s="4"/>
      <c r="F15" s="4"/>
    </row>
    <row r="17" spans="1:11">
      <c r="A17" s="5"/>
      <c r="B17" s="5" t="s">
        <v>607</v>
      </c>
      <c r="C17" s="5" t="s">
        <v>595</v>
      </c>
      <c r="D17" s="5" t="s">
        <v>608</v>
      </c>
      <c r="E17" s="5" t="s">
        <v>609</v>
      </c>
      <c r="F17" s="5" t="s">
        <v>610</v>
      </c>
      <c r="G17" s="5" t="s">
        <v>611</v>
      </c>
      <c r="H17" s="5" t="s">
        <v>612</v>
      </c>
      <c r="I17" s="5" t="s">
        <v>613</v>
      </c>
    </row>
    <row r="18" spans="1:11">
      <c r="A18" t="s">
        <v>614</v>
      </c>
      <c r="B18">
        <v>-68814.689001942053</v>
      </c>
      <c r="C18">
        <v>938236.79815323942</v>
      </c>
      <c r="D18">
        <v>-7.3344692019532962E-2</v>
      </c>
      <c r="E18">
        <v>0.94155797105415062</v>
      </c>
      <c r="F18">
        <v>-1911700.9229596986</v>
      </c>
      <c r="G18">
        <v>1774071.5449558145</v>
      </c>
      <c r="H18">
        <v>-1911700.9229596986</v>
      </c>
      <c r="I18">
        <v>1774071.5449558145</v>
      </c>
    </row>
    <row r="19" spans="1:11">
      <c r="A19" t="s">
        <v>4</v>
      </c>
      <c r="B19">
        <v>-3480395.4258228047</v>
      </c>
      <c r="C19">
        <v>729663.61038449861</v>
      </c>
      <c r="D19">
        <v>-4.7698629564228909</v>
      </c>
      <c r="E19" s="32">
        <v>2.3533600098761348E-6</v>
      </c>
      <c r="F19">
        <v>-4913601.867570024</v>
      </c>
      <c r="G19">
        <v>-2047188.9840755851</v>
      </c>
      <c r="H19">
        <v>-4913601.867570024</v>
      </c>
      <c r="I19">
        <v>-2047188.9840755851</v>
      </c>
    </row>
    <row r="20" spans="1:11">
      <c r="A20" t="s">
        <v>8</v>
      </c>
      <c r="B20">
        <v>-423346.74505572673</v>
      </c>
      <c r="C20">
        <v>78014.18923299294</v>
      </c>
      <c r="D20">
        <v>-5.426535213887596</v>
      </c>
      <c r="E20" s="32">
        <v>8.5601976489469854E-8</v>
      </c>
      <c r="F20">
        <v>-576582.34152119001</v>
      </c>
      <c r="G20">
        <v>-270111.14859026344</v>
      </c>
      <c r="H20">
        <v>-576582.34152119001</v>
      </c>
      <c r="I20">
        <v>-270111.14859026344</v>
      </c>
    </row>
    <row r="21" spans="1:11">
      <c r="A21" t="s">
        <v>10</v>
      </c>
      <c r="B21">
        <v>1278314.9026700114</v>
      </c>
      <c r="C21">
        <v>302622.01567886147</v>
      </c>
      <c r="D21">
        <v>4.2241305537616354</v>
      </c>
      <c r="E21" s="32">
        <v>2.7988244885178152E-5</v>
      </c>
      <c r="F21">
        <v>683904.25081233925</v>
      </c>
      <c r="G21">
        <v>1872725.5545276836</v>
      </c>
      <c r="H21">
        <v>683904.25081233925</v>
      </c>
      <c r="I21">
        <v>1872725.5545276836</v>
      </c>
      <c r="K21" s="32" t="s">
        <v>648</v>
      </c>
    </row>
    <row r="22" spans="1:11">
      <c r="A22" s="4" t="s">
        <v>11</v>
      </c>
      <c r="B22" s="4">
        <v>1785183.8577257392</v>
      </c>
      <c r="C22" s="4">
        <v>114468.25481125894</v>
      </c>
      <c r="D22" s="4">
        <v>15.595449241968796</v>
      </c>
      <c r="E22" s="33">
        <v>8.1643518402994912E-46</v>
      </c>
      <c r="F22" s="4">
        <v>1560345.1267869601</v>
      </c>
      <c r="G22" s="4">
        <v>2010022.5886645184</v>
      </c>
      <c r="H22" s="4">
        <v>1560345.1267869601</v>
      </c>
      <c r="I22" s="4">
        <v>2010022.5886645184</v>
      </c>
    </row>
    <row r="24" spans="1:11">
      <c r="A24" s="20"/>
      <c r="B24" s="23" t="s">
        <v>614</v>
      </c>
      <c r="C24" s="23" t="s">
        <v>4</v>
      </c>
      <c r="D24" s="23" t="s">
        <v>8</v>
      </c>
      <c r="E24" s="23" t="s">
        <v>10</v>
      </c>
      <c r="F24" s="23" t="s">
        <v>11</v>
      </c>
    </row>
    <row r="25" spans="1:11">
      <c r="A25" s="22" t="s">
        <v>607</v>
      </c>
      <c r="B25" s="26">
        <v>-68814.689001942053</v>
      </c>
      <c r="C25" s="26">
        <v>-3480395.4258228047</v>
      </c>
      <c r="D25" s="26">
        <v>-423346.74505572673</v>
      </c>
      <c r="E25" s="21">
        <v>1278314.9026700114</v>
      </c>
      <c r="F25" s="21">
        <v>1785183.8577257392</v>
      </c>
    </row>
    <row r="26" spans="1:11">
      <c r="B26" s="24" t="s">
        <v>649</v>
      </c>
      <c r="C26" s="24" t="s">
        <v>649</v>
      </c>
      <c r="D26" s="24" t="s">
        <v>649</v>
      </c>
      <c r="E26" s="25" t="s">
        <v>650</v>
      </c>
      <c r="F26" s="25" t="s">
        <v>651</v>
      </c>
    </row>
    <row r="28" spans="1:11">
      <c r="A28" s="30" t="s">
        <v>652</v>
      </c>
    </row>
    <row r="30" spans="1:11">
      <c r="A30" t="s">
        <v>653</v>
      </c>
    </row>
    <row r="31" spans="1:11">
      <c r="A31" s="27" t="s">
        <v>654</v>
      </c>
    </row>
    <row r="32" spans="1:11">
      <c r="A32" s="27" t="s">
        <v>655</v>
      </c>
    </row>
    <row r="33" spans="1:1">
      <c r="A33" s="27" t="s">
        <v>656</v>
      </c>
    </row>
    <row r="35" spans="1:1">
      <c r="A35" t="s">
        <v>657</v>
      </c>
    </row>
    <row r="36" spans="1:1">
      <c r="A36" t="s">
        <v>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BD53-1796-4F34-922B-C502BF88CFEF}">
  <dimension ref="A2:E14"/>
  <sheetViews>
    <sheetView workbookViewId="0">
      <selection activeCell="A8" sqref="A8"/>
    </sheetView>
  </sheetViews>
  <sheetFormatPr defaultRowHeight="15"/>
  <sheetData>
    <row r="2" spans="1:5">
      <c r="A2" s="5"/>
      <c r="B2" s="5" t="s">
        <v>4</v>
      </c>
      <c r="C2" s="5" t="s">
        <v>10</v>
      </c>
      <c r="D2" s="5" t="s">
        <v>8</v>
      </c>
      <c r="E2" s="5" t="s">
        <v>11</v>
      </c>
    </row>
    <row r="3" spans="1:5">
      <c r="A3" t="s">
        <v>4</v>
      </c>
      <c r="B3">
        <v>1</v>
      </c>
    </row>
    <row r="4" spans="1:5">
      <c r="A4" t="s">
        <v>10</v>
      </c>
      <c r="B4">
        <v>0.2780351418489076</v>
      </c>
      <c r="C4">
        <v>1</v>
      </c>
    </row>
    <row r="5" spans="1:5">
      <c r="A5" t="s">
        <v>8</v>
      </c>
      <c r="B5">
        <v>3.15346796992537E-2</v>
      </c>
      <c r="C5" s="17">
        <v>0.7052364356493549</v>
      </c>
      <c r="D5">
        <v>1</v>
      </c>
    </row>
    <row r="6" spans="1:5">
      <c r="A6" s="4" t="s">
        <v>11</v>
      </c>
      <c r="B6" s="4">
        <v>2.943422812301625E-2</v>
      </c>
      <c r="C6" s="18">
        <v>0.73460447554422947</v>
      </c>
      <c r="D6" s="18">
        <v>0.87159424785668604</v>
      </c>
      <c r="E6" s="4">
        <v>1</v>
      </c>
    </row>
    <row r="8" spans="1:5">
      <c r="A8" s="31" t="s">
        <v>659</v>
      </c>
    </row>
    <row r="9" spans="1:5">
      <c r="A9" t="s">
        <v>660</v>
      </c>
    </row>
    <row r="10" spans="1:5">
      <c r="A10" t="s">
        <v>661</v>
      </c>
    </row>
    <row r="11" spans="1:5">
      <c r="A11" t="s">
        <v>662</v>
      </c>
    </row>
    <row r="12" spans="1:5">
      <c r="A12" t="s">
        <v>663</v>
      </c>
    </row>
    <row r="13" spans="1:5">
      <c r="A13" t="s">
        <v>664</v>
      </c>
    </row>
    <row r="14" spans="1:5">
      <c r="A14" t="s">
        <v>665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A0C1-DAE0-4989-9DB0-7C2060678F06}">
  <dimension ref="A1:A22"/>
  <sheetViews>
    <sheetView workbookViewId="0">
      <selection activeCell="A9" sqref="A9"/>
    </sheetView>
  </sheetViews>
  <sheetFormatPr defaultRowHeight="15"/>
  <sheetData>
    <row r="1" spans="1:1" ht="15.75">
      <c r="A1" s="19" t="s">
        <v>666</v>
      </c>
    </row>
    <row r="2" spans="1:1" ht="15.75">
      <c r="A2" s="19" t="s">
        <v>667</v>
      </c>
    </row>
    <row r="3" spans="1:1" ht="15.75">
      <c r="A3" s="19" t="s">
        <v>668</v>
      </c>
    </row>
    <row r="4" spans="1:1" ht="15.75">
      <c r="A4" s="19" t="s">
        <v>669</v>
      </c>
    </row>
    <row r="5" spans="1:1" ht="15.75">
      <c r="A5" s="19" t="s">
        <v>670</v>
      </c>
    </row>
    <row r="7" spans="1:1">
      <c r="A7" s="9" t="s">
        <v>671</v>
      </c>
    </row>
    <row r="8" spans="1:1">
      <c r="A8" s="29" t="s">
        <v>672</v>
      </c>
    </row>
    <row r="9" spans="1:1">
      <c r="A9" s="27" t="s">
        <v>673</v>
      </c>
    </row>
    <row r="10" spans="1:1">
      <c r="A10" t="s">
        <v>674</v>
      </c>
    </row>
    <row r="11" spans="1:1">
      <c r="A11" t="s">
        <v>675</v>
      </c>
    </row>
    <row r="12" spans="1:1">
      <c r="A12" t="s">
        <v>676</v>
      </c>
    </row>
    <row r="13" spans="1:1">
      <c r="A13" t="s">
        <v>677</v>
      </c>
    </row>
    <row r="14" spans="1:1">
      <c r="A14" t="s">
        <v>678</v>
      </c>
    </row>
    <row r="15" spans="1:1">
      <c r="A15" s="27" t="s">
        <v>679</v>
      </c>
    </row>
    <row r="16" spans="1:1">
      <c r="A16" t="s">
        <v>680</v>
      </c>
    </row>
    <row r="17" spans="1:1">
      <c r="A17" s="28" t="s">
        <v>681</v>
      </c>
    </row>
    <row r="18" spans="1:1">
      <c r="A18" t="s">
        <v>682</v>
      </c>
    </row>
    <row r="19" spans="1:1">
      <c r="A19" t="s">
        <v>683</v>
      </c>
    </row>
    <row r="20" spans="1:1">
      <c r="A20" t="s">
        <v>684</v>
      </c>
    </row>
    <row r="21" spans="1:1">
      <c r="A21" t="s">
        <v>685</v>
      </c>
    </row>
    <row r="22" spans="1:1">
      <c r="A22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Fisher, Leah</dc:creator>
  <cp:keywords/>
  <dc:description/>
  <cp:lastModifiedBy/>
  <cp:revision/>
  <dcterms:created xsi:type="dcterms:W3CDTF">2026-08-11T15:05:10Z</dcterms:created>
  <dcterms:modified xsi:type="dcterms:W3CDTF">2026-08-12T22:39:19Z</dcterms:modified>
  <cp:category/>
  <cp:contentStatus/>
</cp:coreProperties>
</file>